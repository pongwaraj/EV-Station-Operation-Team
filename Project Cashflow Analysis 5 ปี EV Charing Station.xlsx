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Projected Cashflow" sheetId="1" state="visible" r:id="rId1"/>
    <sheet xmlns:r="http://schemas.openxmlformats.org/officeDocument/2006/relationships" name="Loan" sheetId="2" state="visible" r:id="rId2"/>
    <sheet xmlns:r="http://schemas.openxmlformats.org/officeDocument/2006/relationships" name="กราฟสรุป cashflow" sheetId="3" state="visible" r:id="rId3"/>
    <sheet xmlns:r="http://schemas.openxmlformats.org/officeDocument/2006/relationships" name="EV Specifications" sheetId="4" state="visible" r:id="rId4"/>
    <sheet xmlns:r="http://schemas.openxmlformats.org/officeDocument/2006/relationships" name="EV Price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.000_);_(* \(#,##0.000\);_(* &quot;-&quot;??_);_(@_)"/>
    <numFmt numFmtId="168" formatCode="_(* #,##0.0_);_(* \(#,##0.0\);_(* &quot;-&quot;_);_(@_)"/>
    <numFmt numFmtId="169" formatCode="_(* #,##0.00_);_(* \(#,##0.00\);_(* &quot;-&quot;_);_(@_)"/>
    <numFmt numFmtId="170" formatCode="_-* #,##0.00_-;\-* #,##0.00_-;_-* &quot;-&quot;??_-;_-@_-"/>
    <numFmt numFmtId="171" formatCode="0.000"/>
    <numFmt numFmtId="172" formatCode="_-* #,##0.000_-;\-* #,##0.000_-;_-* &quot;-&quot;??_-;_-@_-"/>
    <numFmt numFmtId="173" formatCode="_(* #,##0.0000_);_(* \(#,##0.0000\);_(* &quot;-&quot;??_);_(@_)"/>
  </numFmts>
  <fonts count="18">
    <font>
      <name val="Calibri"/>
      <color theme="1"/>
      <sz val="11"/>
      <scheme val="minor"/>
    </font>
    <font>
      <name val="Arial"/>
      <family val="2"/>
      <color theme="1"/>
      <sz val="16"/>
    </font>
    <font>
      <name val="Arial"/>
      <family val="2"/>
      <b val="1"/>
      <color theme="1"/>
      <sz val="16"/>
    </font>
    <font>
      <name val="Arial"/>
      <family val="2"/>
      <b val="1"/>
      <color theme="1"/>
      <sz val="16"/>
      <u val="single"/>
    </font>
    <font>
      <name val="Arial"/>
      <family val="2"/>
      <b val="1"/>
      <color theme="1"/>
      <sz val="16"/>
      <u val="single"/>
    </font>
    <font>
      <name val="Arial"/>
      <family val="2"/>
      <b val="1"/>
      <color rgb="FFFF0000"/>
      <sz val="16"/>
    </font>
    <font>
      <name val="Arial"/>
      <family val="2"/>
      <b val="1"/>
      <color theme="1"/>
      <sz val="16"/>
      <u val="single"/>
    </font>
    <font>
      <name val="Arial"/>
      <family val="2"/>
      <color rgb="FF0070C0"/>
      <sz val="16"/>
    </font>
    <font>
      <name val="Arial"/>
      <family val="2"/>
      <color rgb="FFFF0000"/>
      <sz val="16"/>
    </font>
    <font>
      <name val="Arial"/>
      <family val="2"/>
      <color theme="1"/>
      <sz val="10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00B050"/>
      <sz val="16"/>
    </font>
    <font>
      <name val="Arial"/>
      <family val="2"/>
      <b val="1"/>
      <color rgb="FF0070C0"/>
      <sz val="16"/>
    </font>
    <font>
      <name val="Calibri"/>
      <family val="2"/>
      <color theme="1"/>
      <sz val="11"/>
      <scheme val="minor"/>
    </font>
    <font>
      <name val="Google Sans Text"/>
      <family val="2"/>
      <color rgb="FF444746"/>
      <sz val="10"/>
    </font>
    <font>
      <name val="Calibri"/>
      <family val="2"/>
      <color theme="1"/>
      <sz val="11"/>
      <u val="double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1DF42"/>
        <bgColor indexed="64"/>
      </patternFill>
    </fill>
    <fill>
      <patternFill patternType="solid">
        <fgColor theme="9" tint="0.7999816888943144"/>
        <bgColor rgb="FFFFFF00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1"/>
    <xf numFmtId="43" fontId="15" fillId="0" borderId="1"/>
    <xf numFmtId="9" fontId="15" fillId="0" borderId="1"/>
  </cellStyleXfs>
  <cellXfs count="18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1" fillId="3" borderId="1" pivotButton="0" quotePrefix="0" xfId="0"/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pivotButton="0" quotePrefix="0" xfId="0"/>
    <xf numFmtId="164" fontId="1" fillId="2" borderId="1" pivotButton="0" quotePrefix="0" xfId="0"/>
    <xf numFmtId="9" fontId="5" fillId="0" borderId="0" applyAlignment="1" pivotButton="0" quotePrefix="0" xfId="0">
      <alignment horizontal="center"/>
    </xf>
    <xf numFmtId="164" fontId="7" fillId="0" borderId="0" pivotButton="0" quotePrefix="0" xfId="0"/>
    <xf numFmtId="164" fontId="1" fillId="4" borderId="1" pivotButton="0" quotePrefix="0" xfId="0"/>
    <xf numFmtId="165" fontId="1" fillId="2" borderId="1" pivotButton="0" quotePrefix="0" xfId="0"/>
    <xf numFmtId="9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41" fontId="1" fillId="0" borderId="3" pivotButton="0" quotePrefix="0" xfId="0"/>
    <xf numFmtId="0" fontId="2" fillId="0" borderId="0" applyAlignment="1" pivotButton="0" quotePrefix="0" xfId="0">
      <alignment horizontal="center" vertical="center"/>
    </xf>
    <xf numFmtId="41" fontId="1" fillId="0" borderId="0" pivotButton="0" quotePrefix="0" xfId="0"/>
    <xf numFmtId="10" fontId="1" fillId="0" borderId="0" pivotButton="0" quotePrefix="0" xfId="0"/>
    <xf numFmtId="0" fontId="1" fillId="0" borderId="0" applyAlignment="1" pivotButton="0" quotePrefix="0" xfId="0">
      <alignment vertical="center"/>
    </xf>
    <xf numFmtId="41" fontId="1" fillId="0" borderId="2" pivotButton="0" quotePrefix="0" xfId="0"/>
    <xf numFmtId="0" fontId="2" fillId="0" borderId="0" applyAlignment="1" pivotButton="0" quotePrefix="0" xfId="0">
      <alignment horizontal="right"/>
    </xf>
    <xf numFmtId="166" fontId="2" fillId="5" borderId="1" pivotButton="0" quotePrefix="0" xfId="0"/>
    <xf numFmtId="0" fontId="1" fillId="0" borderId="0" pivotButton="0" quotePrefix="1" xfId="0"/>
    <xf numFmtId="0" fontId="8" fillId="4" borderId="1" pivotButton="0" quotePrefix="0" xfId="0"/>
    <xf numFmtId="9" fontId="2" fillId="5" borderId="1" pivotButton="0" quotePrefix="0" xfId="0"/>
    <xf numFmtId="10" fontId="2" fillId="5" borderId="1" pivotButton="0" quotePrefix="0" xfId="0"/>
    <xf numFmtId="0" fontId="9" fillId="0" borderId="1" applyAlignment="1" pivotButton="0" quotePrefix="0" xfId="0">
      <alignment wrapText="1"/>
    </xf>
    <xf numFmtId="0" fontId="9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1" fillId="0" borderId="1" applyAlignment="1" pivotButton="0" quotePrefix="0" xfId="0">
      <alignment vertical="center" wrapText="1" readingOrder="1"/>
    </xf>
    <xf numFmtId="0" fontId="10" fillId="0" borderId="1" applyAlignment="1" pivotButton="0" quotePrefix="0" xfId="0">
      <alignment vertical="center" wrapText="1" readingOrder="1"/>
    </xf>
    <xf numFmtId="166" fontId="1" fillId="2" borderId="1" pivotButton="0" quotePrefix="0" xfId="0"/>
    <xf numFmtId="167" fontId="7" fillId="0" borderId="0" pivotButton="0" quotePrefix="0" xfId="0"/>
    <xf numFmtId="0" fontId="1" fillId="0" borderId="5" applyAlignment="1" pivotButton="0" quotePrefix="0" xfId="0">
      <alignment horizontal="center"/>
    </xf>
    <xf numFmtId="0" fontId="1" fillId="0" borderId="1" pivotButton="0" quotePrefix="0" xfId="0"/>
    <xf numFmtId="0" fontId="1" fillId="0" borderId="6" pivotButton="0" quotePrefix="0" xfId="0"/>
    <xf numFmtId="0" fontId="1" fillId="0" borderId="8" pivotButton="0" quotePrefix="0" xfId="0"/>
    <xf numFmtId="0" fontId="1" fillId="0" borderId="9" pivotButton="0" quotePrefix="0" xfId="0"/>
    <xf numFmtId="168" fontId="2" fillId="5" borderId="1" pivotButton="0" quotePrefix="0" xfId="0"/>
    <xf numFmtId="169" fontId="1" fillId="0" borderId="0" pivotButton="0" quotePrefix="0" xfId="0"/>
    <xf numFmtId="170" fontId="1" fillId="0" borderId="0" applyAlignment="1" pivotButton="0" quotePrefix="0" xfId="0">
      <alignment horizontal="center"/>
    </xf>
    <xf numFmtId="0" fontId="3" fillId="0" borderId="0" pivotButton="0" quotePrefix="0" xfId="0"/>
    <xf numFmtId="170" fontId="1" fillId="0" borderId="0" applyAlignment="1" pivotButton="0" quotePrefix="0" xfId="1">
      <alignment horizontal="center"/>
    </xf>
    <xf numFmtId="170" fontId="1" fillId="0" borderId="0" pivotButton="0" quotePrefix="0" xfId="1"/>
    <xf numFmtId="170" fontId="1" fillId="0" borderId="0" pivotButton="0" quotePrefix="0" xfId="0"/>
    <xf numFmtId="171" fontId="1" fillId="0" borderId="0" pivotButton="0" quotePrefix="0" xfId="0"/>
    <xf numFmtId="167" fontId="1" fillId="2" borderId="1" pivotButton="0" quotePrefix="0" xfId="0"/>
    <xf numFmtId="0" fontId="1" fillId="7" borderId="5" applyAlignment="1" pivotButton="0" quotePrefix="0" xfId="0">
      <alignment horizontal="center"/>
    </xf>
    <xf numFmtId="0" fontId="1" fillId="7" borderId="7" applyAlignment="1" pivotButton="0" quotePrefix="0" xfId="0">
      <alignment horizontal="center"/>
    </xf>
    <xf numFmtId="172" fontId="14" fillId="0" borderId="0" pivotButton="0" quotePrefix="0" xfId="1"/>
    <xf numFmtId="173" fontId="13" fillId="0" borderId="0" pivotButton="0" quotePrefix="0" xfId="0"/>
    <xf numFmtId="0" fontId="1" fillId="7" borderId="0" applyAlignment="1" pivotButton="0" quotePrefix="0" xfId="0">
      <alignment horizontal="center"/>
    </xf>
    <xf numFmtId="9" fontId="7" fillId="0" borderId="0" pivotButton="0" quotePrefix="0" xfId="2"/>
    <xf numFmtId="172" fontId="1" fillId="0" borderId="0" applyAlignment="1" pivotButton="0" quotePrefix="0" xfId="0">
      <alignment horizontal="center"/>
    </xf>
    <xf numFmtId="10" fontId="1" fillId="8" borderId="0" pivotButton="0" quotePrefix="0" xfId="2"/>
    <xf numFmtId="10" fontId="1" fillId="0" borderId="0" pivotButton="0" quotePrefix="0" xfId="2"/>
    <xf numFmtId="165" fontId="1" fillId="0" borderId="0" pivotButton="0" quotePrefix="0" xfId="2"/>
    <xf numFmtId="0" fontId="9" fillId="0" borderId="10" applyAlignment="1" pivotButton="0" quotePrefix="0" xfId="0">
      <alignment wrapText="1"/>
    </xf>
    <xf numFmtId="3" fontId="9" fillId="0" borderId="10" applyAlignment="1" pivotButton="0" quotePrefix="0" xfId="0">
      <alignment horizontal="right" wrapText="1"/>
    </xf>
    <xf numFmtId="0" fontId="12" fillId="0" borderId="0" applyAlignment="1" pivotButton="0" quotePrefix="0" xfId="0">
      <alignment horizontal="center"/>
    </xf>
    <xf numFmtId="0" fontId="9" fillId="0" borderId="10" applyAlignment="1" pivotButton="0" quotePrefix="0" xfId="0">
      <alignment horizontal="center" vertical="center" wrapText="1"/>
    </xf>
    <xf numFmtId="167" fontId="9" fillId="0" borderId="10" applyAlignment="1" pivotButton="0" quotePrefix="0" xfId="0">
      <alignment horizontal="right" wrapText="1"/>
    </xf>
    <xf numFmtId="3" fontId="9" fillId="7" borderId="10" applyAlignment="1" pivotButton="0" quotePrefix="0" xfId="0">
      <alignment horizontal="right" wrapText="1"/>
    </xf>
    <xf numFmtId="170" fontId="0" fillId="9" borderId="10" pivotButton="0" quotePrefix="0" xfId="1"/>
    <xf numFmtId="0" fontId="1" fillId="7" borderId="10" applyAlignment="1" pivotButton="0" quotePrefix="0" xfId="0">
      <alignment horizontal="center"/>
    </xf>
    <xf numFmtId="0" fontId="1" fillId="7" borderId="10" pivotButton="0" quotePrefix="0" xfId="0"/>
    <xf numFmtId="170" fontId="12" fillId="0" borderId="0" pivotButton="0" quotePrefix="0" xfId="1"/>
    <xf numFmtId="170" fontId="16" fillId="0" borderId="1" applyAlignment="1" pivotButton="0" quotePrefix="0" xfId="1">
      <alignment vertical="center" wrapText="1" readingOrder="1"/>
    </xf>
    <xf numFmtId="10" fontId="16" fillId="0" borderId="1" applyAlignment="1" pivotButton="0" quotePrefix="0" xfId="2">
      <alignment vertical="center" wrapText="1" readingOrder="1"/>
    </xf>
    <xf numFmtId="170" fontId="16" fillId="7" borderId="1" applyAlignment="1" pivotButton="0" quotePrefix="0" xfId="1">
      <alignment vertical="center" wrapText="1" readingOrder="1"/>
    </xf>
    <xf numFmtId="43" fontId="1" fillId="2" borderId="1" pivotButton="0" quotePrefix="0" xfId="0"/>
    <xf numFmtId="173" fontId="1" fillId="2" borderId="1" pivotButton="0" quotePrefix="0" xfId="0"/>
    <xf numFmtId="0" fontId="12" fillId="0" borderId="0" pivotButton="0" quotePrefix="0" xfId="0"/>
    <xf numFmtId="170" fontId="0" fillId="9" borderId="10" pivotButton="0" quotePrefix="0" xfId="0"/>
    <xf numFmtId="170" fontId="0" fillId="9" borderId="0" pivotButton="0" quotePrefix="0" xfId="1"/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1" fillId="0" borderId="10" applyAlignment="1" pivotButton="0" quotePrefix="0" xfId="0">
      <alignment horizontal="left" vertical="center"/>
    </xf>
    <xf numFmtId="41" fontId="1" fillId="0" borderId="10" applyAlignment="1" pivotButton="0" quotePrefix="0" xfId="0">
      <alignment horizontal="center"/>
    </xf>
    <xf numFmtId="41" fontId="1" fillId="0" borderId="10" pivotButton="0" quotePrefix="0" xfId="0"/>
    <xf numFmtId="0" fontId="2" fillId="0" borderId="10" applyAlignment="1" pivotButton="0" quotePrefix="0" xfId="0">
      <alignment horizontal="left" vertical="center"/>
    </xf>
    <xf numFmtId="41" fontId="1" fillId="2" borderId="10" pivotButton="0" quotePrefix="0" xfId="0"/>
    <xf numFmtId="170" fontId="1" fillId="0" borderId="0" applyAlignment="1" pivotButton="0" quotePrefix="0" xfId="0">
      <alignment horizontal="left"/>
    </xf>
    <xf numFmtId="0" fontId="1" fillId="9" borderId="10" applyAlignment="1" pivotButton="0" quotePrefix="0" xfId="0">
      <alignment horizontal="left" vertical="center"/>
    </xf>
    <xf numFmtId="41" fontId="1" fillId="9" borderId="10" pivotButton="0" quotePrefix="0" xfId="0"/>
    <xf numFmtId="170" fontId="0" fillId="0" borderId="0" pivotButton="0" quotePrefix="0" xfId="0"/>
    <xf numFmtId="0" fontId="2" fillId="0" borderId="1" applyAlignment="1" pivotButton="0" quotePrefix="0" xfId="0">
      <alignment horizontal="center"/>
    </xf>
    <xf numFmtId="41" fontId="1" fillId="0" borderId="1" pivotButton="0" quotePrefix="0" xfId="0"/>
    <xf numFmtId="0" fontId="2" fillId="9" borderId="10" applyAlignment="1" pivotButton="0" quotePrefix="0" xfId="0">
      <alignment horizontal="left" vertical="center"/>
    </xf>
    <xf numFmtId="164" fontId="1" fillId="10" borderId="1" pivotButton="0" quotePrefix="0" xfId="0"/>
    <xf numFmtId="166" fontId="1" fillId="10" borderId="1" pivotButton="0" quotePrefix="0" xfId="0"/>
    <xf numFmtId="167" fontId="1" fillId="10" borderId="1" pivotButton="0" quotePrefix="0" xfId="0"/>
    <xf numFmtId="43" fontId="1" fillId="10" borderId="1" pivotButton="0" quotePrefix="0" xfId="0"/>
    <xf numFmtId="173" fontId="1" fillId="10" borderId="1" pivotButton="0" quotePrefix="0" xfId="0"/>
    <xf numFmtId="164" fontId="1" fillId="11" borderId="1" pivotButton="0" quotePrefix="0" xfId="0"/>
    <xf numFmtId="167" fontId="1" fillId="11" borderId="1" pivotButton="0" quotePrefix="0" xfId="0"/>
    <xf numFmtId="41" fontId="1" fillId="12" borderId="10" pivotButton="0" quotePrefix="0" xfId="0"/>
    <xf numFmtId="43" fontId="9" fillId="0" borderId="10" applyAlignment="1" pivotButton="0" quotePrefix="0" xfId="0">
      <alignment horizontal="right" wrapText="1"/>
    </xf>
    <xf numFmtId="166" fontId="9" fillId="0" borderId="10" applyAlignment="1" pivotButton="0" quotePrefix="0" xfId="0">
      <alignment horizontal="right" wrapText="1"/>
    </xf>
    <xf numFmtId="170" fontId="1" fillId="8" borderId="0" applyAlignment="1" pivotButton="0" quotePrefix="0" xfId="1">
      <alignment horizontal="center"/>
    </xf>
    <xf numFmtId="41" fontId="1" fillId="13" borderId="10" pivotButton="0" quotePrefix="0" xfId="0"/>
    <xf numFmtId="43" fontId="1" fillId="11" borderId="1" pivotButton="0" quotePrefix="0" xfId="0"/>
    <xf numFmtId="0" fontId="9" fillId="8" borderId="10" applyAlignment="1" pivotButton="0" quotePrefix="0" xfId="0">
      <alignment horizontal="center" vertical="center" wrapText="1"/>
    </xf>
    <xf numFmtId="0" fontId="9" fillId="14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2" fillId="0" borderId="1" applyAlignment="1" pivotButton="0" quotePrefix="0" xfId="0">
      <alignment horizontal="center"/>
    </xf>
    <xf numFmtId="170" fontId="0" fillId="9" borderId="11" pivotButton="0" quotePrefix="0" xfId="1"/>
    <xf numFmtId="0" fontId="9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wrapText="1"/>
    </xf>
    <xf numFmtId="3" fontId="9" fillId="0" borderId="13" applyAlignment="1" pivotButton="0" quotePrefix="0" xfId="0">
      <alignment horizontal="right" wrapText="1"/>
    </xf>
    <xf numFmtId="0" fontId="9" fillId="0" borderId="14" applyAlignment="1" pivotButton="0" quotePrefix="0" xfId="0">
      <alignment horizontal="center" wrapText="1"/>
    </xf>
    <xf numFmtId="3" fontId="9" fillId="9" borderId="15" applyAlignment="1" pivotButton="0" quotePrefix="0" xfId="0">
      <alignment horizontal="right" wrapText="1"/>
    </xf>
    <xf numFmtId="3" fontId="9" fillId="9" borderId="16" applyAlignment="1" pivotButton="0" quotePrefix="0" xfId="0">
      <alignment horizontal="right" wrapText="1"/>
    </xf>
    <xf numFmtId="0" fontId="9" fillId="0" borderId="13" applyAlignment="1" pivotButton="0" quotePrefix="0" xfId="0">
      <alignment horizontal="center" vertical="center" wrapText="1"/>
    </xf>
    <xf numFmtId="167" fontId="9" fillId="0" borderId="13" applyAlignment="1" pivotButton="0" quotePrefix="0" xfId="0">
      <alignment horizontal="right" wrapText="1"/>
    </xf>
    <xf numFmtId="0" fontId="9" fillId="14" borderId="13" applyAlignment="1" pivotButton="0" quotePrefix="0" xfId="0">
      <alignment horizontal="center" vertical="center" wrapText="1"/>
    </xf>
    <xf numFmtId="3" fontId="17" fillId="0" borderId="0" pivotButton="0" quotePrefix="0" xfId="0"/>
    <xf numFmtId="0" fontId="9" fillId="13" borderId="10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12" fillId="7" borderId="17" applyAlignment="1" pivotButton="0" quotePrefix="0" xfId="0">
      <alignment horizontal="center"/>
    </xf>
    <xf numFmtId="0" fontId="12" fillId="7" borderId="18" applyAlignment="1" pivotButton="0" quotePrefix="0" xfId="0">
      <alignment horizontal="center"/>
    </xf>
    <xf numFmtId="0" fontId="12" fillId="7" borderId="19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3" fillId="0" borderId="1" applyAlignment="1" pivotButton="0" quotePrefix="0" xfId="0">
      <alignment horizontal="center" wrapText="1"/>
    </xf>
    <xf numFmtId="166" fontId="9" fillId="0" borderId="10" applyAlignment="1" pivotButton="0" quotePrefix="0" xfId="0">
      <alignment horizontal="right" wrapText="1"/>
    </xf>
    <xf numFmtId="167" fontId="9" fillId="0" borderId="10" applyAlignment="1" pivotButton="0" quotePrefix="0" xfId="0">
      <alignment horizontal="right" wrapText="1"/>
    </xf>
    <xf numFmtId="43" fontId="9" fillId="0" borderId="10" applyAlignment="1" pivotButton="0" quotePrefix="0" xfId="0">
      <alignment horizontal="right" wrapText="1"/>
    </xf>
    <xf numFmtId="167" fontId="9" fillId="0" borderId="13" applyAlignment="1" pivotButton="0" quotePrefix="0" xfId="0">
      <alignment horizontal="right" wrapText="1"/>
    </xf>
    <xf numFmtId="0" fontId="1" fillId="6" borderId="20" applyAlignment="1" pivotButton="0" quotePrefix="0" xfId="0">
      <alignment horizontal="center"/>
    </xf>
    <xf numFmtId="0" fontId="0" fillId="0" borderId="6" pivotButton="0" quotePrefix="0" xfId="0"/>
    <xf numFmtId="166" fontId="1" fillId="2" borderId="1" pivotButton="0" quotePrefix="0" xfId="0"/>
    <xf numFmtId="166" fontId="1" fillId="10" borderId="1" pivotButton="0" quotePrefix="0" xfId="0"/>
    <xf numFmtId="167" fontId="7" fillId="0" borderId="0" pivotButton="0" quotePrefix="0" xfId="0"/>
    <xf numFmtId="173" fontId="13" fillId="0" borderId="0" pivotButton="0" quotePrefix="0" xfId="0"/>
    <xf numFmtId="167" fontId="1" fillId="2" borderId="1" pivotButton="0" quotePrefix="0" xfId="0"/>
    <xf numFmtId="167" fontId="1" fillId="10" borderId="1" pivotButton="0" quotePrefix="0" xfId="0"/>
    <xf numFmtId="172" fontId="14" fillId="0" borderId="0" pivotButton="0" quotePrefix="0" xfId="1"/>
    <xf numFmtId="170" fontId="1" fillId="0" borderId="0" pivotButton="0" quotePrefix="0" xfId="0"/>
    <xf numFmtId="170" fontId="1" fillId="0" borderId="0" applyAlignment="1" pivotButton="0" quotePrefix="0" xfId="0">
      <alignment horizontal="center"/>
    </xf>
    <xf numFmtId="170" fontId="1" fillId="0" borderId="0" applyAlignment="1" pivotButton="0" quotePrefix="0" xfId="1">
      <alignment horizontal="center"/>
    </xf>
    <xf numFmtId="170" fontId="1" fillId="8" borderId="0" applyAlignment="1" pivotButton="0" quotePrefix="0" xfId="1">
      <alignment horizontal="center"/>
    </xf>
    <xf numFmtId="43" fontId="1" fillId="2" borderId="1" pivotButton="0" quotePrefix="0" xfId="0"/>
    <xf numFmtId="43" fontId="1" fillId="10" borderId="1" pivotButton="0" quotePrefix="0" xfId="0"/>
    <xf numFmtId="170" fontId="0" fillId="9" borderId="11" pivotButton="0" quotePrefix="0" xfId="1"/>
    <xf numFmtId="170" fontId="0" fillId="9" borderId="10" pivotButton="0" quotePrefix="0" xfId="1"/>
    <xf numFmtId="170" fontId="0" fillId="9" borderId="10" pivotButton="0" quotePrefix="0" xfId="0"/>
    <xf numFmtId="172" fontId="1" fillId="0" borderId="0" applyAlignment="1" pivotButton="0" quotePrefix="0" xfId="0">
      <alignment horizontal="center"/>
    </xf>
    <xf numFmtId="173" fontId="1" fillId="2" borderId="1" pivotButton="0" quotePrefix="0" xfId="0"/>
    <xf numFmtId="173" fontId="1" fillId="10" borderId="1" pivotButton="0" quotePrefix="0" xfId="0"/>
    <xf numFmtId="171" fontId="1" fillId="0" borderId="0" pivotButton="0" quotePrefix="0" xfId="0"/>
    <xf numFmtId="170" fontId="1" fillId="0" borderId="0" applyAlignment="1" pivotButton="0" quotePrefix="0" xfId="0">
      <alignment horizontal="left"/>
    </xf>
    <xf numFmtId="167" fontId="1" fillId="11" borderId="1" pivotButton="0" quotePrefix="0" xfId="0"/>
    <xf numFmtId="43" fontId="1" fillId="11" borderId="1" pivotButton="0" quotePrefix="0" xfId="0"/>
    <xf numFmtId="41" fontId="1" fillId="0" borderId="10" applyAlignment="1" pivotButton="0" quotePrefix="0" xfId="0">
      <alignment horizontal="center"/>
    </xf>
    <xf numFmtId="41" fontId="1" fillId="12" borderId="10" pivotButton="0" quotePrefix="0" xfId="0"/>
    <xf numFmtId="41" fontId="1" fillId="0" borderId="0" pivotButton="0" quotePrefix="0" xfId="0"/>
    <xf numFmtId="41" fontId="1" fillId="0" borderId="10" pivotButton="0" quotePrefix="0" xfId="0"/>
    <xf numFmtId="41" fontId="1" fillId="9" borderId="10" pivotButton="0" quotePrefix="0" xfId="0"/>
    <xf numFmtId="41" fontId="1" fillId="13" borderId="10" pivotButton="0" quotePrefix="0" xfId="0"/>
    <xf numFmtId="170" fontId="1" fillId="0" borderId="0" pivotButton="0" quotePrefix="0" xfId="1"/>
    <xf numFmtId="41" fontId="1" fillId="2" borderId="10" pivotButton="0" quotePrefix="0" xfId="0"/>
    <xf numFmtId="41" fontId="1" fillId="0" borderId="3" pivotButton="0" quotePrefix="0" xfId="0"/>
    <xf numFmtId="41" fontId="1" fillId="0" borderId="2" pivotButton="0" quotePrefix="0" xfId="0"/>
    <xf numFmtId="41" fontId="1" fillId="0" borderId="1" pivotButton="0" quotePrefix="0" xfId="0"/>
    <xf numFmtId="166" fontId="2" fillId="5" borderId="1" pivotButton="0" quotePrefix="0" xfId="0"/>
    <xf numFmtId="168" fontId="2" fillId="5" borderId="1" pivotButton="0" quotePrefix="0" xfId="0"/>
    <xf numFmtId="169" fontId="1" fillId="0" borderId="0" pivotButton="0" quotePrefix="0" xfId="0"/>
    <xf numFmtId="170" fontId="0" fillId="9" borderId="0" pivotButton="0" quotePrefix="0" xfId="1"/>
    <xf numFmtId="170" fontId="16" fillId="7" borderId="1" applyAlignment="1" pivotButton="0" quotePrefix="0" xfId="1">
      <alignment vertical="center" wrapText="1" readingOrder="1"/>
    </xf>
    <xf numFmtId="170" fontId="16" fillId="0" borderId="1" applyAlignment="1" pivotButton="0" quotePrefix="0" xfId="1">
      <alignment vertical="center" wrapText="1" readingOrder="1"/>
    </xf>
    <xf numFmtId="170" fontId="12" fillId="0" borderId="0" pivotButton="0" quotePrefix="0" xfId="1"/>
    <xf numFmtId="170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th-TH" sz="1400" b="0" i="0">
                <a:solidFill>
                  <a:srgbClr val="757575"/>
                </a:solidFill>
                <a:latin typeface="+mn-lt"/>
              </a:rPr>
              <a:t>กระแสเงินสดของธุรกิจ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'Projected Cashflow'!$F$40:$I$40</f>
              <strCache>
                <ptCount val="4"/>
                <pt idx="0">
                  <v>ปีที่ 2</v>
                </pt>
                <pt idx="1">
                  <v>ปีที่ 3</v>
                </pt>
                <pt idx="2">
                  <v>ปีที่ 4</v>
                </pt>
                <pt idx="3">
                  <v>ปีที่ 5</v>
                </pt>
              </strCache>
            </strRef>
          </cat>
          <val>
            <numRef>
              <f>'Projected Cashflow'!$D$54:$I$54</f>
              <numCache>
                <formatCode>_(* #,##0_);_(* \(#,##0\);_(* "-"_);_(@_)</formatCode>
                <ptCount val="6"/>
                <pt idx="0">
                  <v>-6120</v>
                </pt>
                <pt idx="1">
                  <v>1885.096608</v>
                </pt>
                <pt idx="2">
                  <v>2596.4573136</v>
                </pt>
                <pt idx="3">
                  <v>2720.55005448</v>
                </pt>
                <pt idx="4">
                  <v>2850.847432404</v>
                </pt>
                <pt idx="5">
                  <v>3121.8847299492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6034685"/>
        <axId val="1394922369"/>
      </barChart>
      <catAx>
        <axId val="6603468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94922369"/>
        <crosses val="autoZero"/>
        <auto val="1"/>
        <lblAlgn val="ctr"/>
        <lblOffset val="100"/>
        <noMultiLvlLbl val="1"/>
      </catAx>
      <valAx>
        <axId val="139492236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* #,##0_);_(* \(#,##0\);_(* &quot;-&quot;_);_(@_)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66034685"/>
        <crosses val="autoZero"/>
        <crossBetween val="between"/>
      </valAx>
    </plotArea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35953</colOff>
      <row>0</row>
      <rowOff>6903</rowOff>
    </from>
    <to>
      <col>3</col>
      <colOff>582930</colOff>
      <row>7</row>
      <rowOff>162056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28783" y="6903"/>
          <a:ext cx="1194677" cy="143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276225</colOff>
      <row>1</row>
      <rowOff>104775</rowOff>
    </from>
    <ext cx="7629525" cy="46577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W1006"/>
  <sheetViews>
    <sheetView showGridLines="0" tabSelected="1" zoomScale="60" zoomScaleNormal="145" workbookViewId="0">
      <selection activeCell="D9" sqref="D9"/>
    </sheetView>
  </sheetViews>
  <sheetFormatPr baseColWidth="8" defaultColWidth="14.3984375" defaultRowHeight="15" customHeight="1"/>
  <cols>
    <col width="4.73046875" customWidth="1" min="1" max="2"/>
    <col width="64.73046875" bestFit="1" customWidth="1" min="3" max="3"/>
    <col width="20.1328125" customWidth="1" min="4" max="16"/>
    <col width="3.73046875" customWidth="1" min="17" max="17"/>
    <col hidden="1" outlineLevel="1" width="3.73046875" customWidth="1" min="18" max="18"/>
    <col hidden="1" outlineLevel="1" width="16.3984375" customWidth="1" min="19" max="19"/>
    <col collapsed="1" width="17.6640625" customWidth="1" min="20" max="20"/>
    <col width="28.73046875" bestFit="1" customWidth="1" min="21" max="21"/>
    <col width="21.6640625" bestFit="1" customWidth="1" style="37" min="22" max="22"/>
    <col width="12.73046875" bestFit="1" customWidth="1" min="23" max="23"/>
    <col width="9" customWidth="1" min="24" max="28"/>
    <col width="9.19921875" bestFit="1" customWidth="1" min="29" max="29"/>
    <col width="13.1328125" bestFit="1" customWidth="1" min="30" max="30"/>
    <col width="13.33203125" bestFit="1" customWidth="1" min="31" max="31"/>
    <col width="17.1328125" bestFit="1" customWidth="1" min="32" max="32"/>
    <col width="17.1328125" customWidth="1" min="33" max="33"/>
    <col width="24.3984375" bestFit="1" customWidth="1" min="34" max="34"/>
    <col width="24.3984375" customWidth="1" min="35" max="35"/>
    <col width="17.1328125" customWidth="1" min="36" max="38"/>
    <col width="9" customWidth="1" min="39" max="39"/>
    <col width="9.19921875" bestFit="1" customWidth="1" min="40" max="40"/>
    <col width="13.1328125" bestFit="1" customWidth="1" min="41" max="41"/>
    <col width="13.33203125" bestFit="1" customWidth="1" min="42" max="42"/>
    <col width="17.1328125" bestFit="1" customWidth="1" min="43" max="43"/>
    <col width="17.1328125" customWidth="1" min="44" max="46"/>
    <col width="24.3984375" bestFit="1" customWidth="1" min="47" max="47"/>
    <col width="24.3984375" customWidth="1" min="48" max="48"/>
    <col width="9" customWidth="1" min="49" max="49"/>
    <col width="9.19921875" bestFit="1" customWidth="1" min="50" max="50"/>
    <col width="13.1328125" bestFit="1" customWidth="1" min="51" max="51"/>
    <col width="13.33203125" bestFit="1" customWidth="1" min="52" max="52"/>
    <col width="17.1328125" bestFit="1" customWidth="1" min="53" max="53"/>
    <col width="17.1328125" customWidth="1" min="54" max="56"/>
    <col width="24.265625" customWidth="1" min="57" max="57"/>
    <col width="24.3984375" customWidth="1" min="58" max="58"/>
  </cols>
  <sheetData>
    <row r="1" ht="20.25" customHeight="1">
      <c r="A1" s="1" t="n"/>
      <c r="B1" s="2" t="n"/>
      <c r="C1" s="3" t="inlineStr">
        <is>
          <t>กรอกข้อมูลในช่องสีเหลือง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4" t="n"/>
      <c r="S1" s="1" t="n"/>
      <c r="T1" s="1" t="n"/>
      <c r="U1" s="1" t="n"/>
      <c r="V1" s="2" t="n"/>
      <c r="W1" s="1" t="n"/>
      <c r="X1" s="1" t="n"/>
      <c r="Y1" s="1" t="n"/>
      <c r="Z1" s="1" t="n"/>
      <c r="AA1" s="1" t="n"/>
      <c r="AB1" s="1" t="n"/>
      <c r="AC1" s="132" t="inlineStr">
        <is>
          <t xml:space="preserve">Worst Case (5 คัน/ช่อง/วัน): ใช้พื้นที่เพียง 7.8% ของวัน  </t>
        </is>
      </c>
      <c r="AD1" s="135" t="n"/>
      <c r="AE1" s="135" t="n"/>
      <c r="AF1" s="135" t="n"/>
      <c r="AG1" s="135" t="n"/>
      <c r="AH1" s="135" t="n"/>
      <c r="AI1" s="135" t="n"/>
      <c r="AJ1" s="135" t="n"/>
      <c r="AK1" s="135" t="n"/>
      <c r="AL1" s="136" t="n"/>
      <c r="AM1" s="1" t="n"/>
      <c r="AW1" s="1" t="n"/>
    </row>
    <row r="2" ht="20.25" customHeight="1">
      <c r="A2" s="1" t="n"/>
      <c r="B2" s="2" t="n"/>
      <c r="C2" s="137" t="inlineStr">
        <is>
          <t>การประมาณการณ์ทางการเงินของธุรกิจผ่าน Project Cashflow Analysis EV_P26002_Meta Mall</t>
        </is>
      </c>
      <c r="P2" s="131" t="n"/>
      <c r="Q2" s="1" t="n"/>
      <c r="R2" s="4" t="n"/>
      <c r="S2" s="1" t="n"/>
      <c r="T2" s="1" t="n"/>
      <c r="U2" s="1" t="n"/>
      <c r="V2" s="73" t="inlineStr">
        <is>
          <t xml:space="preserve">Worst Case </t>
        </is>
      </c>
      <c r="W2" s="74" t="n">
        <v>5</v>
      </c>
      <c r="X2" s="1">
        <f>W2*6</f>
        <v/>
      </c>
      <c r="Y2" s="1" t="n"/>
      <c r="Z2" s="1" t="n"/>
      <c r="AA2" s="1" t="n"/>
      <c r="AB2" s="1" t="n"/>
      <c r="AC2" s="117" t="inlineStr">
        <is>
          <t>ปีที่</t>
        </is>
      </c>
      <c r="AD2" s="69" t="inlineStr">
        <is>
          <t>ยอดขาย (หน่วย)</t>
        </is>
      </c>
      <c r="AE2" s="112" t="inlineStr">
        <is>
          <t>รายได้รวม (บาท)</t>
        </is>
      </c>
      <c r="AF2" s="112" t="inlineStr">
        <is>
          <t>ต้นทุนสินค้า (COGS)</t>
        </is>
      </c>
      <c r="AG2" s="112" t="inlineStr">
        <is>
          <t>Gross Profit</t>
        </is>
      </c>
      <c r="AH2" s="69" t="inlineStr">
        <is>
          <t>Meta Mall</t>
        </is>
      </c>
      <c r="AI2" s="111" t="inlineStr">
        <is>
          <t>ส่วน OneCharge เฉลี่ย 10 ปี</t>
        </is>
      </c>
      <c r="AJ2" s="127" t="inlineStr">
        <is>
          <t>Bank</t>
        </is>
      </c>
      <c r="AK2" s="69" t="inlineStr">
        <is>
          <t>OPEX (บาท)</t>
        </is>
      </c>
      <c r="AL2" s="125" t="inlineStr">
        <is>
          <t>Operation Profit</t>
        </is>
      </c>
      <c r="AM2" s="1" t="n"/>
      <c r="AW2" s="1" t="n"/>
    </row>
    <row r="3" ht="20.25" customHeight="1">
      <c r="A3" s="1" t="n"/>
      <c r="B3" s="2" t="n"/>
      <c r="C3" s="131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1" t="n"/>
      <c r="R3" s="4" t="n"/>
      <c r="S3" s="1" t="n"/>
      <c r="T3" s="1" t="n"/>
      <c r="U3" s="1" t="n"/>
      <c r="V3" s="73" t="inlineStr">
        <is>
          <t>Most Likely</t>
        </is>
      </c>
      <c r="W3" s="74" t="n">
        <v>10</v>
      </c>
      <c r="X3" s="1">
        <f>W3*6</f>
        <v/>
      </c>
      <c r="Y3" s="1" t="n"/>
      <c r="Z3" s="1" t="n"/>
      <c r="AA3" s="1" t="n"/>
      <c r="AB3" s="1" t="n"/>
      <c r="AC3" s="118" t="inlineStr">
        <is>
          <t>ราคา/หน่วย</t>
        </is>
      </c>
      <c r="AD3" s="66" t="n"/>
      <c r="AE3" s="138">
        <f>E$9</f>
        <v/>
      </c>
      <c r="AF3" s="139">
        <f>$E$10</f>
        <v/>
      </c>
      <c r="AG3" s="139" t="n"/>
      <c r="AH3" s="140">
        <f>$E$14</f>
        <v/>
      </c>
      <c r="AI3" s="140">
        <f>$D$19</f>
        <v/>
      </c>
      <c r="AJ3" s="139" t="n"/>
      <c r="AK3" s="139">
        <f>AE3-AF3-AH3-AI3</f>
        <v/>
      </c>
      <c r="AL3" s="141" t="n"/>
      <c r="AM3" s="1" t="n"/>
      <c r="AW3" s="1" t="n"/>
    </row>
    <row r="4" ht="20.25" customHeight="1" thickBot="1">
      <c r="A4" s="1" t="n"/>
      <c r="B4" s="2" t="n"/>
      <c r="C4" s="7" t="inlineStr">
        <is>
          <t>ประมาณการรายได้</t>
        </is>
      </c>
      <c r="D4" s="8" t="n"/>
      <c r="E4" s="8" t="inlineStr">
        <is>
          <t>ปีที่ 1</t>
        </is>
      </c>
      <c r="F4" s="8" t="inlineStr">
        <is>
          <t>ปีที่ 2</t>
        </is>
      </c>
      <c r="G4" s="8" t="inlineStr">
        <is>
          <t>ปีที่ 3</t>
        </is>
      </c>
      <c r="H4" s="8" t="inlineStr">
        <is>
          <t>ปีที่ 4</t>
        </is>
      </c>
      <c r="I4" s="8" t="inlineStr">
        <is>
          <t>ปีที่ 5</t>
        </is>
      </c>
      <c r="J4" s="8" t="inlineStr">
        <is>
          <t>ปีที่ 6</t>
        </is>
      </c>
      <c r="K4" s="8" t="inlineStr">
        <is>
          <t>ปีที่ 7</t>
        </is>
      </c>
      <c r="L4" s="8" t="inlineStr">
        <is>
          <t>ปีที่ 8</t>
        </is>
      </c>
      <c r="M4" s="8" t="inlineStr">
        <is>
          <t>ปีที่ 9</t>
        </is>
      </c>
      <c r="N4" s="8" t="inlineStr">
        <is>
          <t>ปีที่ 10</t>
        </is>
      </c>
      <c r="O4" s="8" t="inlineStr">
        <is>
          <t>Average</t>
        </is>
      </c>
      <c r="P4" s="8" t="inlineStr">
        <is>
          <t xml:space="preserve"> Accumulate</t>
        </is>
      </c>
      <c r="Q4" s="1" t="n"/>
      <c r="R4" s="4" t="n"/>
      <c r="S4" s="9" t="n"/>
      <c r="T4" s="1" t="n"/>
      <c r="U4" s="1" t="n"/>
      <c r="V4" s="73" t="inlineStr">
        <is>
          <t>Best Case</t>
        </is>
      </c>
      <c r="W4" s="74" t="n">
        <v>15</v>
      </c>
      <c r="X4" s="1">
        <f>W4*6</f>
        <v/>
      </c>
      <c r="Y4" s="1" t="n"/>
      <c r="Z4" s="1" t="n"/>
      <c r="AA4" s="1" t="n"/>
      <c r="AB4" s="1" t="n"/>
      <c r="AC4" s="118" t="n">
        <v>1</v>
      </c>
      <c r="AD4" s="71">
        <f>365*($W$2*$V$6)*$V$9*$V$10</f>
        <v/>
      </c>
      <c r="AE4" s="67">
        <f>$AD4*$AE$3</f>
        <v/>
      </c>
      <c r="AF4" s="67">
        <f>$AD4*$AF$3</f>
        <v/>
      </c>
      <c r="AG4" s="67">
        <f>AE4-AF4</f>
        <v/>
      </c>
      <c r="AH4" s="67">
        <f>$AD4*$AH$3</f>
        <v/>
      </c>
      <c r="AI4" s="67">
        <f>$AD4*$AI$3</f>
        <v/>
      </c>
      <c r="AJ4" s="67">
        <f>$V$36</f>
        <v/>
      </c>
      <c r="AK4" s="67">
        <f>(312.24*12)+6000+AH4+AI4+AJ4</f>
        <v/>
      </c>
      <c r="AL4" s="119">
        <f>AG4-AK4</f>
        <v/>
      </c>
      <c r="AM4" s="1" t="n"/>
      <c r="AW4" s="1" t="n"/>
    </row>
    <row r="5" ht="20.25" customHeight="1">
      <c r="A5" s="1" t="n"/>
      <c r="B5" s="2" t="n"/>
      <c r="C5" s="7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1" t="n"/>
      <c r="R5" s="4" t="n"/>
      <c r="S5" s="9" t="n"/>
      <c r="T5" s="1" t="n"/>
      <c r="U5" s="1" t="n"/>
      <c r="V5" s="142" t="inlineStr">
        <is>
          <t>EV CHARGER</t>
        </is>
      </c>
      <c r="X5" s="143" t="n"/>
      <c r="Y5" s="1" t="n"/>
      <c r="Z5" s="1" t="n"/>
      <c r="AA5" s="1" t="n"/>
      <c r="AB5" s="1" t="n"/>
      <c r="AC5" s="118" t="n">
        <v>2</v>
      </c>
      <c r="AD5" s="67">
        <f>AD4*1.05</f>
        <v/>
      </c>
      <c r="AE5" s="67">
        <f>$AD5*$AE$3</f>
        <v/>
      </c>
      <c r="AF5" s="67">
        <f>$AD5*$AF$3</f>
        <v/>
      </c>
      <c r="AG5" s="67">
        <f>AE5-AF5</f>
        <v/>
      </c>
      <c r="AH5" s="67">
        <f>$AD5*$AH$3</f>
        <v/>
      </c>
      <c r="AI5" s="67">
        <f>$AD5*$AI$3</f>
        <v/>
      </c>
      <c r="AJ5" s="67">
        <f>$V$36</f>
        <v/>
      </c>
      <c r="AK5" s="67">
        <f>(312.24*12)+6000+AH5+AI5+AJ5</f>
        <v/>
      </c>
      <c r="AL5" s="119">
        <f>AG5-AK5</f>
        <v/>
      </c>
      <c r="AM5" s="1" t="n"/>
      <c r="AW5" s="1" t="n"/>
    </row>
    <row r="6" ht="20.25" customHeight="1">
      <c r="A6" s="1" t="n"/>
      <c r="B6" s="2" t="n"/>
      <c r="C6" s="7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1" t="n"/>
      <c r="R6" s="4" t="n"/>
      <c r="S6" s="9" t="n"/>
      <c r="T6" s="1" t="n"/>
      <c r="U6" s="1" t="n"/>
      <c r="V6" s="42" t="n">
        <v>6</v>
      </c>
      <c r="W6" s="43" t="inlineStr">
        <is>
          <t>ช่อง</t>
        </is>
      </c>
      <c r="X6" s="44" t="n"/>
      <c r="Y6" s="1" t="n"/>
      <c r="Z6" s="1" t="n"/>
      <c r="AA6" s="1" t="n"/>
      <c r="AB6" s="1" t="n"/>
      <c r="AC6" s="118" t="n">
        <v>3</v>
      </c>
      <c r="AD6" s="67">
        <f>AD5*1.05</f>
        <v/>
      </c>
      <c r="AE6" s="67">
        <f>$AD6*$AE$3</f>
        <v/>
      </c>
      <c r="AF6" s="67">
        <f>$AD6*$AF$3</f>
        <v/>
      </c>
      <c r="AG6" s="67">
        <f>AE6-AF6</f>
        <v/>
      </c>
      <c r="AH6" s="67">
        <f>$AD6*$AH$3</f>
        <v/>
      </c>
      <c r="AI6" s="67">
        <f>$AD6*$AI$3</f>
        <v/>
      </c>
      <c r="AJ6" s="67">
        <f>$V$36</f>
        <v/>
      </c>
      <c r="AK6" s="67">
        <f>(312.24*12)+6000+AH6+AI6+AJ6</f>
        <v/>
      </c>
      <c r="AL6" s="119">
        <f>AG6-AK6</f>
        <v/>
      </c>
      <c r="AM6" s="1" t="n"/>
      <c r="AW6" s="1" t="n"/>
    </row>
    <row r="7" ht="20.25" customHeight="1">
      <c r="A7" s="1" t="n"/>
      <c r="B7" s="2" t="n"/>
      <c r="C7" s="50" t="inlineStr">
        <is>
          <t>สินค้า A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1" t="n"/>
      <c r="R7" s="4" t="n"/>
      <c r="S7" s="9" t="n"/>
      <c r="T7" s="1" t="n"/>
      <c r="U7" s="1" t="n"/>
      <c r="V7" s="56">
        <f>W3</f>
        <v/>
      </c>
      <c r="W7" s="43" t="inlineStr">
        <is>
          <t>คัน / ช่อง</t>
        </is>
      </c>
      <c r="X7" s="44" t="n"/>
      <c r="Y7" s="1" t="n"/>
      <c r="Z7" s="1" t="n"/>
      <c r="AA7" s="1" t="n"/>
      <c r="AB7" s="1" t="n"/>
      <c r="AC7" s="118" t="n">
        <v>4</v>
      </c>
      <c r="AD7" s="67">
        <f>AD6*1.05</f>
        <v/>
      </c>
      <c r="AE7" s="67">
        <f>$AD7*$AE$3</f>
        <v/>
      </c>
      <c r="AF7" s="67">
        <f>$AD7*$AF$3</f>
        <v/>
      </c>
      <c r="AG7" s="67">
        <f>AE7-AF7</f>
        <v/>
      </c>
      <c r="AH7" s="67">
        <f>$AD7*$AH$3</f>
        <v/>
      </c>
      <c r="AI7" s="67">
        <f>$AD7*$AI$3</f>
        <v/>
      </c>
      <c r="AJ7" s="67">
        <f>$V$36</f>
        <v/>
      </c>
      <c r="AK7" s="67">
        <f>(312.24*12)+6000+AH7+AI7+AJ7</f>
        <v/>
      </c>
      <c r="AL7" s="119">
        <f>AG7-AK7</f>
        <v/>
      </c>
      <c r="AM7" s="1" t="n"/>
      <c r="AW7" s="1" t="n"/>
    </row>
    <row r="8" ht="20.25" customHeight="1">
      <c r="A8" s="1" t="n"/>
      <c r="B8" s="2" t="n"/>
      <c r="C8" s="11" t="inlineStr">
        <is>
          <t>ประมาณการยอดขายต่อปี (ชิ้น) - Q</t>
        </is>
      </c>
      <c r="D8" s="12" t="n"/>
      <c r="E8" s="13">
        <f>365*V8*V9*V10</f>
        <v/>
      </c>
      <c r="F8" s="13">
        <f>E8*1.05</f>
        <v/>
      </c>
      <c r="G8" s="13">
        <f>F8*1.05</f>
        <v/>
      </c>
      <c r="H8" s="13">
        <f>G8*1.05</f>
        <v/>
      </c>
      <c r="I8" s="13">
        <f>H8*1.05</f>
        <v/>
      </c>
      <c r="J8" s="98">
        <f>I8*1.05</f>
        <v/>
      </c>
      <c r="K8" s="98">
        <f>J8*1.05</f>
        <v/>
      </c>
      <c r="L8" s="98">
        <f>K8*1.05</f>
        <v/>
      </c>
      <c r="M8" s="98">
        <f>L8*1.05</f>
        <v/>
      </c>
      <c r="N8" s="98">
        <f>M8*1.05</f>
        <v/>
      </c>
      <c r="O8" s="103">
        <f>AVERAGE(E8:N8)</f>
        <v/>
      </c>
      <c r="P8" s="103">
        <f>SUM(F8:N8)</f>
        <v/>
      </c>
      <c r="Q8" s="1" t="n"/>
      <c r="R8" s="4" t="n"/>
      <c r="S8" s="14" t="n"/>
      <c r="T8" s="12" t="n"/>
      <c r="U8" s="12" t="n"/>
      <c r="V8" s="42">
        <f>V6*V7</f>
        <v/>
      </c>
      <c r="W8" s="43" t="inlineStr">
        <is>
          <t>ทั้งหมด คัน / วัน</t>
        </is>
      </c>
      <c r="X8" s="44" t="n"/>
      <c r="Y8" s="1" t="n"/>
      <c r="Z8" s="1" t="n"/>
      <c r="AA8" s="1" t="n"/>
      <c r="AB8" s="1" t="n"/>
      <c r="AC8" s="118" t="n">
        <v>5</v>
      </c>
      <c r="AD8" s="67">
        <f>AD7*1.05</f>
        <v/>
      </c>
      <c r="AE8" s="67">
        <f>$AD8*$AE$3</f>
        <v/>
      </c>
      <c r="AF8" s="67">
        <f>$AD8*$AF$3</f>
        <v/>
      </c>
      <c r="AG8" s="67">
        <f>AE8-AF8</f>
        <v/>
      </c>
      <c r="AH8" s="67">
        <f>$AD8*$AH$3</f>
        <v/>
      </c>
      <c r="AI8" s="67">
        <f>$AD8*$AI$3</f>
        <v/>
      </c>
      <c r="AJ8" s="67">
        <f>$V$36</f>
        <v/>
      </c>
      <c r="AK8" s="67">
        <f>(312.24*12)+6000+AH8+AI8+AJ8</f>
        <v/>
      </c>
      <c r="AL8" s="119">
        <f>AG8-AK8</f>
        <v/>
      </c>
      <c r="AM8" s="1" t="n"/>
      <c r="AW8" s="1" t="n"/>
    </row>
    <row r="9" ht="20.25" customHeight="1">
      <c r="A9" s="1" t="n"/>
      <c r="B9" s="2" t="n"/>
      <c r="C9" s="11" t="inlineStr">
        <is>
          <t>ราคาต่อชิ้น - P</t>
        </is>
      </c>
      <c r="D9" s="12" t="n"/>
      <c r="E9" s="144" t="n">
        <v>7.9</v>
      </c>
      <c r="F9" s="144">
        <f>$E$9</f>
        <v/>
      </c>
      <c r="G9" s="144">
        <f>$E$9</f>
        <v/>
      </c>
      <c r="H9" s="144">
        <f>$E$9</f>
        <v/>
      </c>
      <c r="I9" s="144">
        <f>$E$9</f>
        <v/>
      </c>
      <c r="J9" s="145">
        <f>$E$9</f>
        <v/>
      </c>
      <c r="K9" s="145">
        <f>$E$9</f>
        <v/>
      </c>
      <c r="L9" s="145">
        <f>$E$9</f>
        <v/>
      </c>
      <c r="M9" s="145">
        <f>$E$9</f>
        <v/>
      </c>
      <c r="N9" s="145">
        <f>$E$9</f>
        <v/>
      </c>
      <c r="O9" s="146" t="n"/>
      <c r="P9" s="146" t="n"/>
      <c r="Q9" s="1" t="n"/>
      <c r="R9" s="4" t="n"/>
      <c r="S9" s="14" t="n"/>
      <c r="T9" s="1" t="n"/>
      <c r="U9" s="1" t="n"/>
      <c r="V9" s="56">
        <f>'EV Specifications'!E4</f>
        <v/>
      </c>
      <c r="W9" s="43" t="inlineStr">
        <is>
          <t>kWh / คัน</t>
        </is>
      </c>
      <c r="X9" s="44" t="n"/>
      <c r="Y9" s="1" t="n"/>
      <c r="Z9" s="1" t="n"/>
      <c r="AA9" s="1" t="n"/>
      <c r="AB9" s="1" t="n"/>
      <c r="AC9" s="118" t="n">
        <v>6</v>
      </c>
      <c r="AD9" s="67">
        <f>AD8*1.05</f>
        <v/>
      </c>
      <c r="AE9" s="67">
        <f>$AD9*$AE$3</f>
        <v/>
      </c>
      <c r="AF9" s="67">
        <f>$AD9*$AF$3</f>
        <v/>
      </c>
      <c r="AG9" s="67">
        <f>AE9-AF9</f>
        <v/>
      </c>
      <c r="AH9" s="67">
        <f>$AD9*$AH$3</f>
        <v/>
      </c>
      <c r="AI9" s="67">
        <f>$AD9*$AI$3</f>
        <v/>
      </c>
      <c r="AJ9" s="67" t="n">
        <v>0</v>
      </c>
      <c r="AK9" s="67">
        <f>(312.24*12)+6000+AH9+AI9+AJ9</f>
        <v/>
      </c>
      <c r="AL9" s="119">
        <f>AG9-AK9</f>
        <v/>
      </c>
      <c r="AM9" s="1" t="n"/>
      <c r="AW9" s="1" t="n"/>
    </row>
    <row r="10" ht="20.25" customHeight="1" thickBot="1">
      <c r="A10" s="1" t="n"/>
      <c r="B10" s="2" t="n"/>
      <c r="C10" s="11" t="inlineStr">
        <is>
          <t>ต้นทุนต่อชิ้น - COGS</t>
        </is>
      </c>
      <c r="D10" s="147">
        <f>E9-E10</f>
        <v/>
      </c>
      <c r="E10" s="148">
        <f>2.9162+0.1623</f>
        <v/>
      </c>
      <c r="F10" s="148">
        <f>$E$10</f>
        <v/>
      </c>
      <c r="G10" s="148">
        <f>$E$10</f>
        <v/>
      </c>
      <c r="H10" s="148">
        <f>$E$10</f>
        <v/>
      </c>
      <c r="I10" s="148">
        <f>$E$10</f>
        <v/>
      </c>
      <c r="J10" s="149">
        <f>$E$10</f>
        <v/>
      </c>
      <c r="K10" s="149">
        <f>$E$10</f>
        <v/>
      </c>
      <c r="L10" s="149">
        <f>$E$10</f>
        <v/>
      </c>
      <c r="M10" s="149">
        <f>$E$10</f>
        <v/>
      </c>
      <c r="N10" s="149">
        <f>$E$10</f>
        <v/>
      </c>
      <c r="O10" s="146" t="n"/>
      <c r="P10" s="146" t="n"/>
      <c r="Q10" s="1" t="n"/>
      <c r="R10" s="4" t="n"/>
      <c r="S10" s="14" t="n"/>
      <c r="T10" s="1" t="inlineStr">
        <is>
          <t xml:space="preserve">  </t>
        </is>
      </c>
      <c r="U10" s="1" t="inlineStr">
        <is>
          <t>Low Priority energy rate + Ft May-Aug 2026; effective Meta Mall from Jul 2026</t>
        </is>
      </c>
      <c r="V10" s="57" t="n">
        <v>0.8</v>
      </c>
      <c r="W10" s="45" t="inlineStr">
        <is>
          <t>Utilization Rate</t>
        </is>
      </c>
      <c r="X10" s="46" t="n"/>
      <c r="Y10" s="1">
        <f>V10*365</f>
        <v/>
      </c>
      <c r="Z10" s="1" t="inlineStr">
        <is>
          <t xml:space="preserve"> วัน</t>
        </is>
      </c>
      <c r="AA10" s="1" t="n"/>
      <c r="AB10" s="1" t="n"/>
      <c r="AC10" s="118" t="n">
        <v>7</v>
      </c>
      <c r="AD10" s="67">
        <f>AD9*1.05</f>
        <v/>
      </c>
      <c r="AE10" s="67">
        <f>$AD10*$AE$3</f>
        <v/>
      </c>
      <c r="AF10" s="67">
        <f>$AD10*$AF$3</f>
        <v/>
      </c>
      <c r="AG10" s="67">
        <f>AE10-AF10</f>
        <v/>
      </c>
      <c r="AH10" s="67">
        <f>$AD10*$AH$3</f>
        <v/>
      </c>
      <c r="AI10" s="67">
        <f>$AD10*$AI$3</f>
        <v/>
      </c>
      <c r="AJ10" s="67" t="n">
        <v>0</v>
      </c>
      <c r="AK10" s="67">
        <f>(312.24*12)+6000+AH10+AI10+AJ10</f>
        <v/>
      </c>
      <c r="AL10" s="119">
        <f>AG10-AK10</f>
        <v/>
      </c>
      <c r="AM10" s="1" t="n"/>
      <c r="AW10" s="1" t="n"/>
    </row>
    <row r="11" ht="20.25" customHeight="1">
      <c r="A11" s="1" t="n"/>
      <c r="B11" s="2" t="n"/>
      <c r="C11" s="11" t="inlineStr">
        <is>
          <t>Profit Sharing</t>
        </is>
      </c>
      <c r="D11" s="150" t="n"/>
      <c r="E11" s="146" t="n"/>
      <c r="F11" s="146" t="n"/>
      <c r="G11" s="146" t="n"/>
      <c r="H11" s="146" t="n"/>
      <c r="I11" s="146" t="n"/>
      <c r="J11" s="146" t="n"/>
      <c r="K11" s="146" t="n"/>
      <c r="L11" s="146" t="n"/>
      <c r="M11" s="146" t="n"/>
      <c r="N11" s="146" t="n"/>
      <c r="O11" s="146" t="n"/>
      <c r="P11" s="146" t="n"/>
      <c r="Q11" s="1" t="n"/>
      <c r="R11" s="4" t="n"/>
      <c r="S11" s="1" t="n"/>
      <c r="T11" s="151" t="n"/>
      <c r="U11" s="151" t="n"/>
      <c r="V11" s="152">
        <f>V9*E9/0.92</f>
        <v/>
      </c>
      <c r="W11" s="151" t="inlineStr">
        <is>
          <t>THB / คัน</t>
        </is>
      </c>
      <c r="X11" s="1" t="n"/>
      <c r="Y11" s="1" t="n"/>
      <c r="Z11" s="1" t="n"/>
      <c r="AA11" s="1" t="n"/>
      <c r="AB11" s="1" t="n"/>
      <c r="AC11" s="118" t="n">
        <v>8</v>
      </c>
      <c r="AD11" s="67">
        <f>AD10*1.05</f>
        <v/>
      </c>
      <c r="AE11" s="67">
        <f>$AD11*$AE$3</f>
        <v/>
      </c>
      <c r="AF11" s="67">
        <f>$AD11*$AF$3</f>
        <v/>
      </c>
      <c r="AG11" s="67">
        <f>AE11-AF11</f>
        <v/>
      </c>
      <c r="AH11" s="67">
        <f>$AD11*$AH$3</f>
        <v/>
      </c>
      <c r="AI11" s="67">
        <f>$AD11*$AI$3</f>
        <v/>
      </c>
      <c r="AJ11" s="67" t="n">
        <v>0</v>
      </c>
      <c r="AK11" s="67">
        <f>(312.24*12)+6000+AH11+AI11+AJ11</f>
        <v/>
      </c>
      <c r="AL11" s="119">
        <f>AG11-AK11</f>
        <v/>
      </c>
      <c r="AM11" s="1" t="n"/>
      <c r="AW11" s="1" t="n"/>
    </row>
    <row r="12" ht="20.25" customHeight="1">
      <c r="A12" s="1" t="n"/>
      <c r="B12" s="2" t="n"/>
      <c r="C12" s="50" t="inlineStr">
        <is>
          <t>ส่วนของ Owner</t>
        </is>
      </c>
      <c r="D12" s="150" t="n"/>
      <c r="E12" s="153" t="n"/>
      <c r="F12" s="153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" t="n"/>
      <c r="R12" s="4" t="n"/>
      <c r="S12" s="1" t="n"/>
      <c r="T12" s="151" t="n"/>
      <c r="U12" s="151" t="n"/>
      <c r="V12" s="154">
        <f>D29/(AVERAGE(E45:N45)*1000)</f>
        <v/>
      </c>
      <c r="W12" s="1" t="inlineStr">
        <is>
          <t>Avg Payback (ปี)</t>
        </is>
      </c>
      <c r="X12" s="1" t="n"/>
      <c r="Y12" s="1" t="n"/>
      <c r="Z12" s="1" t="n"/>
      <c r="AA12" s="1" t="n"/>
      <c r="AB12" s="1" t="n"/>
      <c r="AC12" s="118" t="n">
        <v>9</v>
      </c>
      <c r="AD12" s="67">
        <f>AD11*1.05</f>
        <v/>
      </c>
      <c r="AE12" s="67">
        <f>$AD12*$AE$3</f>
        <v/>
      </c>
      <c r="AF12" s="67">
        <f>$AD12*$AF$3</f>
        <v/>
      </c>
      <c r="AG12" s="67">
        <f>AE12-AF12</f>
        <v/>
      </c>
      <c r="AH12" s="67">
        <f>$AD12*$AH$3</f>
        <v/>
      </c>
      <c r="AI12" s="67">
        <f>$AD12*$AI$3</f>
        <v/>
      </c>
      <c r="AJ12" s="67" t="n">
        <v>0</v>
      </c>
      <c r="AK12" s="67">
        <f>(312.24*12)+6000+AH12+AI12+AJ12</f>
        <v/>
      </c>
      <c r="AL12" s="119">
        <f>AG12-AK12</f>
        <v/>
      </c>
      <c r="AM12" s="1" t="n"/>
      <c r="AW12" s="1" t="n"/>
    </row>
    <row r="13" ht="20.25" customHeight="1">
      <c r="A13" s="1" t="n"/>
      <c r="B13" s="2" t="n"/>
      <c r="C13" s="11" t="inlineStr">
        <is>
          <t>ประมาณการยอดขายต่อปี (ชิ้น) - Q</t>
        </is>
      </c>
      <c r="D13" s="64">
        <f>E14/E9</f>
        <v/>
      </c>
      <c r="E13" s="13">
        <f>E8</f>
        <v/>
      </c>
      <c r="F13" s="13">
        <f>F8</f>
        <v/>
      </c>
      <c r="G13" s="13">
        <f>G8</f>
        <v/>
      </c>
      <c r="H13" s="13">
        <f>H8</f>
        <v/>
      </c>
      <c r="I13" s="13">
        <f>I8</f>
        <v/>
      </c>
      <c r="J13" s="98">
        <f>J8</f>
        <v/>
      </c>
      <c r="K13" s="98">
        <f>K8</f>
        <v/>
      </c>
      <c r="L13" s="98">
        <f>L8</f>
        <v/>
      </c>
      <c r="M13" s="98">
        <f>M8</f>
        <v/>
      </c>
      <c r="N13" s="98">
        <f>N8</f>
        <v/>
      </c>
      <c r="O13" s="103">
        <f>AVERAGE(E13:N13)</f>
        <v/>
      </c>
      <c r="P13" s="103">
        <f>SUM(F13:N13)</f>
        <v/>
      </c>
      <c r="Q13" s="1" t="n"/>
      <c r="R13" s="4" t="n"/>
      <c r="S13" s="1" t="n"/>
      <c r="T13" s="151" t="n"/>
      <c r="U13" s="151" t="n"/>
      <c r="V13" s="152" t="n"/>
      <c r="W13" s="1" t="n"/>
      <c r="X13" s="1" t="n"/>
      <c r="Y13" s="1" t="n"/>
      <c r="Z13" s="1" t="n"/>
      <c r="AA13" s="1" t="n"/>
      <c r="AB13" s="1" t="n"/>
      <c r="AC13" s="118" t="n">
        <v>10</v>
      </c>
      <c r="AD13" s="67">
        <f>AD12*1.05</f>
        <v/>
      </c>
      <c r="AE13" s="67">
        <f>$AD13*$AE$3</f>
        <v/>
      </c>
      <c r="AF13" s="67">
        <f>$AD13*$AF$3</f>
        <v/>
      </c>
      <c r="AG13" s="67">
        <f>AE13-AF13</f>
        <v/>
      </c>
      <c r="AH13" s="67">
        <f>$AD13*$AH$3</f>
        <v/>
      </c>
      <c r="AI13" s="67">
        <f>$AD13*$AI$3</f>
        <v/>
      </c>
      <c r="AJ13" s="67" t="n">
        <v>0</v>
      </c>
      <c r="AK13" s="67">
        <f>(312.24*12)+6000+AH13+AI13+AJ13</f>
        <v/>
      </c>
      <c r="AL13" s="119">
        <f>AG13-AK13</f>
        <v/>
      </c>
      <c r="AM13" s="1" t="n"/>
      <c r="AW13" s="1" t="n"/>
    </row>
    <row r="14" ht="20.25" customHeight="1" thickBot="1">
      <c r="A14" s="1" t="n"/>
      <c r="B14" s="2" t="n"/>
      <c r="C14" s="11" t="inlineStr">
        <is>
          <t>ราคาต่อชิ้น - P</t>
        </is>
      </c>
      <c r="D14" s="65">
        <f>E14/D10</f>
        <v/>
      </c>
      <c r="E14" s="155" t="n">
        <v>0.4</v>
      </c>
      <c r="F14" s="155">
        <f>$E$14</f>
        <v/>
      </c>
      <c r="G14" s="155">
        <f>$E$14</f>
        <v/>
      </c>
      <c r="H14" s="155">
        <f>$E$14</f>
        <v/>
      </c>
      <c r="I14" s="155">
        <f>$E$14</f>
        <v/>
      </c>
      <c r="J14" s="156">
        <f>$E$14</f>
        <v/>
      </c>
      <c r="K14" s="156">
        <f>$E$14</f>
        <v/>
      </c>
      <c r="L14" s="156">
        <f>$E$14</f>
        <v/>
      </c>
      <c r="M14" s="156">
        <f>$E$14</f>
        <v/>
      </c>
      <c r="N14" s="156">
        <f>$E$14</f>
        <v/>
      </c>
      <c r="O14" s="15" t="n"/>
      <c r="P14" s="15" t="n"/>
      <c r="Q14" s="1" t="n"/>
      <c r="R14" s="4" t="n"/>
      <c r="S14" s="1" t="n"/>
      <c r="T14" s="151" t="n"/>
      <c r="U14" s="151" t="n"/>
      <c r="V14" s="152" t="n"/>
      <c r="W14" s="1" t="n"/>
      <c r="X14" s="1" t="n"/>
      <c r="Y14" s="1" t="n"/>
      <c r="Z14" s="1" t="n"/>
      <c r="AA14" s="1" t="n"/>
      <c r="AB14" s="1" t="n"/>
      <c r="AC14" s="120" t="inlineStr">
        <is>
          <t>รวม</t>
        </is>
      </c>
      <c r="AD14" s="121">
        <f>SUM(AD4:AD13)</f>
        <v/>
      </c>
      <c r="AE14" s="121">
        <f>SUM(AE4:AE13)</f>
        <v/>
      </c>
      <c r="AF14" s="121">
        <f>SUM(AF4:AF13)</f>
        <v/>
      </c>
      <c r="AG14" s="121">
        <f>SUM(AG4:AG13)</f>
        <v/>
      </c>
      <c r="AH14" s="121">
        <f>SUM(AH4:AH13)</f>
        <v/>
      </c>
      <c r="AI14" s="121">
        <f>SUM(AI4:AI13)</f>
        <v/>
      </c>
      <c r="AJ14" s="121">
        <f>SUM(AJ4:AJ13)</f>
        <v/>
      </c>
      <c r="AK14" s="121">
        <f>SUM(AK4:AK13)</f>
        <v/>
      </c>
      <c r="AL14" s="122" t="n"/>
      <c r="AM14" s="1" t="n"/>
      <c r="AW14" s="1" t="n"/>
    </row>
    <row r="15" ht="20.25" customHeight="1">
      <c r="A15" s="1" t="n"/>
      <c r="B15" s="2" t="n"/>
      <c r="C15" s="11" t="inlineStr">
        <is>
          <t>รายได้ต่อปี</t>
        </is>
      </c>
      <c r="D15" s="12" t="n"/>
      <c r="E15" s="13">
        <f>E13*E14</f>
        <v/>
      </c>
      <c r="F15" s="13">
        <f>F13*F14</f>
        <v/>
      </c>
      <c r="G15" s="13">
        <f>G13*G14</f>
        <v/>
      </c>
      <c r="H15" s="13">
        <f>H13*H14</f>
        <v/>
      </c>
      <c r="I15" s="13">
        <f>I13*I14</f>
        <v/>
      </c>
      <c r="J15" s="98">
        <f>J13*J14</f>
        <v/>
      </c>
      <c r="K15" s="98">
        <f>K13*K14</f>
        <v/>
      </c>
      <c r="L15" s="98">
        <f>L13*L14</f>
        <v/>
      </c>
      <c r="M15" s="98">
        <f>M13*M14</f>
        <v/>
      </c>
      <c r="N15" s="98">
        <f>N13*N14</f>
        <v/>
      </c>
      <c r="O15" s="103">
        <f>AVERAGE(E15:N15)</f>
        <v/>
      </c>
      <c r="P15" s="103">
        <f>SUM(F15:N15)</f>
        <v/>
      </c>
      <c r="Q15" s="1" t="n"/>
      <c r="R15" s="4" t="n"/>
      <c r="S15" s="1" t="n"/>
      <c r="T15" s="12" t="n"/>
      <c r="U15" s="1" t="n"/>
      <c r="V15" s="2" t="n"/>
      <c r="W15" s="1" t="n"/>
      <c r="X15" s="1" t="n"/>
      <c r="Y15" s="1" t="n"/>
      <c r="Z15" s="1" t="n"/>
      <c r="AA15" s="1" t="n"/>
      <c r="AB15" s="1" t="n"/>
      <c r="AC15" s="113" t="n"/>
      <c r="AD15" s="114" t="n"/>
      <c r="AE15" s="114" t="n"/>
      <c r="AF15" s="114" t="n"/>
      <c r="AG15" s="115" t="inlineStr">
        <is>
          <t xml:space="preserve">เฉลี่ย 10 ปี ปีละ </t>
        </is>
      </c>
      <c r="AH15" s="157">
        <f>AH14/10</f>
        <v/>
      </c>
      <c r="AI15" s="157">
        <f>AI14/10</f>
        <v/>
      </c>
      <c r="AJ15" s="115" t="n"/>
      <c r="AK15" s="115" t="n"/>
      <c r="AL15" s="126">
        <f>SUM(AL4:AL13)</f>
        <v/>
      </c>
      <c r="AM15" s="1" t="n"/>
      <c r="AW15" s="1" t="n"/>
    </row>
    <row r="16" ht="20.25" customHeight="1">
      <c r="A16" s="1" t="n"/>
      <c r="B16" s="2" t="n"/>
      <c r="C16" s="11" t="inlineStr">
        <is>
          <t>รายได้ต่อเดือน</t>
        </is>
      </c>
      <c r="D16" s="12" t="n"/>
      <c r="E16" s="13">
        <f>E15/12</f>
        <v/>
      </c>
      <c r="F16" s="13">
        <f>F15/12</f>
        <v/>
      </c>
      <c r="G16" s="13">
        <f>G15/12</f>
        <v/>
      </c>
      <c r="H16" s="13">
        <f>H15/12</f>
        <v/>
      </c>
      <c r="I16" s="13">
        <f>I15/12</f>
        <v/>
      </c>
      <c r="J16" s="98">
        <f>J15/12</f>
        <v/>
      </c>
      <c r="K16" s="98">
        <f>K15/12</f>
        <v/>
      </c>
      <c r="L16" s="98">
        <f>L15/12</f>
        <v/>
      </c>
      <c r="M16" s="98">
        <f>M15/12</f>
        <v/>
      </c>
      <c r="N16" s="98">
        <f>N15/12</f>
        <v/>
      </c>
      <c r="O16" s="15" t="n"/>
      <c r="P16" s="15" t="n"/>
      <c r="Q16" s="1" t="n"/>
      <c r="R16" s="4" t="n"/>
      <c r="S16" s="1" t="n"/>
      <c r="T16" s="12" t="n"/>
      <c r="U16" s="1" t="n"/>
      <c r="V16" s="2" t="n"/>
      <c r="W16" s="1" t="n"/>
      <c r="X16" s="1" t="n"/>
      <c r="Y16" s="1" t="n"/>
      <c r="Z16" s="1" t="n"/>
      <c r="AA16" s="1" t="n"/>
      <c r="AB16" s="1" t="n"/>
      <c r="AC16" s="37" t="n"/>
      <c r="AG16" s="68" t="inlineStr">
        <is>
          <t xml:space="preserve">เดือนละ </t>
        </is>
      </c>
      <c r="AH16" s="158">
        <f>AH15/12</f>
        <v/>
      </c>
      <c r="AI16" s="158">
        <f>AI15/12</f>
        <v/>
      </c>
      <c r="AJ16" s="68" t="n"/>
      <c r="AK16" s="68" t="n"/>
      <c r="AM16" s="1" t="n"/>
      <c r="AW16" s="1" t="n"/>
    </row>
    <row r="17" ht="20.25" customHeight="1">
      <c r="A17" s="1" t="n"/>
      <c r="B17" s="2" t="n"/>
      <c r="C17" s="11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" t="n"/>
      <c r="R17" s="4" t="n"/>
      <c r="S17" s="1" t="n"/>
      <c r="T17" s="151" t="n"/>
      <c r="U17" s="1" t="n"/>
      <c r="V17" s="2" t="n"/>
      <c r="W17" s="1" t="n"/>
      <c r="X17" s="1" t="n"/>
      <c r="Y17" s="1" t="n"/>
      <c r="Z17" s="1" t="n"/>
      <c r="AA17" s="1" t="n"/>
      <c r="AB17" s="1" t="n"/>
      <c r="AC17" s="37" t="n"/>
      <c r="AG17" s="68" t="inlineStr">
        <is>
          <t>เทียบค่าเช่าต่อช่อง</t>
        </is>
      </c>
      <c r="AH17" s="159">
        <f>AH16/6</f>
        <v/>
      </c>
      <c r="AJ17" s="68" t="n"/>
      <c r="AK17" s="68" t="n"/>
      <c r="AM17" s="1" t="n"/>
      <c r="AW17" s="1" t="n"/>
    </row>
    <row r="18" ht="20.25" customHeight="1">
      <c r="A18" s="1" t="n"/>
      <c r="B18" s="2" t="n"/>
      <c r="C18" s="50" t="inlineStr">
        <is>
          <t>ส่วนของ One Charge</t>
        </is>
      </c>
      <c r="D18" s="61" t="n">
        <v>0.08</v>
      </c>
      <c r="E18" s="15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" t="n"/>
      <c r="R18" s="4" t="n"/>
      <c r="S18" s="1" t="n"/>
      <c r="T18" s="1" t="n"/>
      <c r="U18" s="1" t="n"/>
      <c r="V18" s="2" t="n"/>
      <c r="W18" s="1" t="n"/>
      <c r="X18" s="1" t="n"/>
      <c r="Y18" s="1" t="n"/>
      <c r="Z18" s="1" t="n"/>
      <c r="AA18" s="1" t="n"/>
      <c r="AB18" s="1" t="n"/>
      <c r="AC18" s="37" t="n"/>
      <c r="AM18" s="1" t="n"/>
      <c r="AW18" s="1" t="n"/>
    </row>
    <row r="19" ht="20.25" customHeight="1" thickBot="1">
      <c r="A19" s="1" t="n"/>
      <c r="B19" s="2" t="n"/>
      <c r="C19" s="11" t="inlineStr">
        <is>
          <t>ประมาณการยอดขายต่อปี (ชิ้น) - Q</t>
        </is>
      </c>
      <c r="D19" s="160">
        <f>D18*E9</f>
        <v/>
      </c>
      <c r="E19" s="13">
        <f>E13</f>
        <v/>
      </c>
      <c r="F19" s="13">
        <f>F13</f>
        <v/>
      </c>
      <c r="G19" s="13">
        <f>G13</f>
        <v/>
      </c>
      <c r="H19" s="13">
        <f>H13</f>
        <v/>
      </c>
      <c r="I19" s="13">
        <f>I13</f>
        <v/>
      </c>
      <c r="J19" s="98">
        <f>J13</f>
        <v/>
      </c>
      <c r="K19" s="98">
        <f>K13</f>
        <v/>
      </c>
      <c r="L19" s="98">
        <f>L13</f>
        <v/>
      </c>
      <c r="M19" s="98">
        <f>M13</f>
        <v/>
      </c>
      <c r="N19" s="98">
        <f>N13</f>
        <v/>
      </c>
      <c r="O19" s="103">
        <f>AVERAGE(E19:N19)</f>
        <v/>
      </c>
      <c r="P19" s="103">
        <f>SUM(F19:N19)</f>
        <v/>
      </c>
      <c r="Q19" s="1" t="n"/>
      <c r="R19" s="4" t="n"/>
      <c r="S19" s="1" t="n"/>
      <c r="T19" s="1" t="n"/>
      <c r="U19" s="1" t="n"/>
      <c r="V19" s="2" t="n"/>
      <c r="W19" s="1" t="n"/>
      <c r="X19" s="1" t="n"/>
      <c r="Y19" s="1" t="n"/>
      <c r="Z19" s="1" t="n"/>
      <c r="AA19" s="1" t="n"/>
      <c r="AB19" s="1" t="n"/>
      <c r="AC19" s="37" t="n"/>
      <c r="AM19" s="1" t="n"/>
      <c r="AW19" s="1" t="n"/>
    </row>
    <row r="20" ht="20.25" customHeight="1">
      <c r="A20" s="1" t="n"/>
      <c r="B20" s="2" t="n"/>
      <c r="C20" s="11" t="inlineStr">
        <is>
          <t>ราคาต่อชิ้น - P</t>
        </is>
      </c>
      <c r="D20" s="12" t="n"/>
      <c r="E20" s="161">
        <f>$D$19</f>
        <v/>
      </c>
      <c r="F20" s="161">
        <f>$D$19</f>
        <v/>
      </c>
      <c r="G20" s="161">
        <f>$D$19</f>
        <v/>
      </c>
      <c r="H20" s="161">
        <f>$D$19</f>
        <v/>
      </c>
      <c r="I20" s="161">
        <f>$D$19</f>
        <v/>
      </c>
      <c r="J20" s="162">
        <f>$D$19</f>
        <v/>
      </c>
      <c r="K20" s="162">
        <f>$D$19</f>
        <v/>
      </c>
      <c r="L20" s="162">
        <f>$D$19</f>
        <v/>
      </c>
      <c r="M20" s="162">
        <f>$D$19</f>
        <v/>
      </c>
      <c r="N20" s="162">
        <f>$D$19</f>
        <v/>
      </c>
      <c r="O20" s="15" t="n"/>
      <c r="P20" s="15" t="n"/>
      <c r="Q20" s="1" t="n"/>
      <c r="R20" s="4" t="n"/>
      <c r="S20" s="1" t="n"/>
      <c r="T20" s="1" t="n"/>
      <c r="U20" s="1" t="n"/>
      <c r="V20" s="2" t="n"/>
      <c r="W20" s="1" t="n"/>
      <c r="X20" s="1" t="n"/>
      <c r="Y20" s="1" t="n"/>
      <c r="Z20" s="1" t="n"/>
      <c r="AA20" s="1" t="n"/>
      <c r="AB20" s="1" t="n"/>
      <c r="AC20" s="132" t="inlineStr">
        <is>
          <t>Most Likely (10 คัน/ช่อง/วัน): ใช้พื้นที่ 15.6% ของวัน</t>
        </is>
      </c>
      <c r="AD20" s="135" t="n"/>
      <c r="AE20" s="135" t="n"/>
      <c r="AF20" s="135" t="n"/>
      <c r="AG20" s="135" t="n"/>
      <c r="AH20" s="135" t="n"/>
      <c r="AI20" s="135" t="n"/>
      <c r="AJ20" s="135" t="n"/>
      <c r="AK20" s="135" t="n"/>
      <c r="AL20" s="136" t="n"/>
      <c r="AM20" s="1" t="n"/>
      <c r="AW20" s="1" t="n"/>
    </row>
    <row r="21" ht="20.25" customHeight="1">
      <c r="A21" s="1" t="n"/>
      <c r="B21" s="2" t="n"/>
      <c r="C21" s="11" t="inlineStr">
        <is>
          <t>รายได้ต่อปี</t>
        </is>
      </c>
      <c r="D21" s="12" t="n"/>
      <c r="E21" s="13">
        <f>E19*E20</f>
        <v/>
      </c>
      <c r="F21" s="13">
        <f>F19*F20</f>
        <v/>
      </c>
      <c r="G21" s="13">
        <f>G19*G20</f>
        <v/>
      </c>
      <c r="H21" s="13">
        <f>H19*H20</f>
        <v/>
      </c>
      <c r="I21" s="13">
        <f>I19*I20</f>
        <v/>
      </c>
      <c r="J21" s="98">
        <f>J19*J20</f>
        <v/>
      </c>
      <c r="K21" s="98">
        <f>K19*K20</f>
        <v/>
      </c>
      <c r="L21" s="98">
        <f>L19*L20</f>
        <v/>
      </c>
      <c r="M21" s="98">
        <f>M19*M20</f>
        <v/>
      </c>
      <c r="N21" s="98">
        <f>N19*N20</f>
        <v/>
      </c>
      <c r="O21" s="103">
        <f>AVERAGE(E21:N21)</f>
        <v/>
      </c>
      <c r="P21" s="103">
        <f>SUM(F21:N21)</f>
        <v/>
      </c>
      <c r="Q21" s="1" t="n"/>
      <c r="R21" s="4" t="n"/>
      <c r="S21" s="1" t="n"/>
      <c r="T21" s="12" t="n"/>
      <c r="U21" s="1" t="n"/>
      <c r="V21" s="2" t="n"/>
      <c r="W21" s="1" t="n"/>
      <c r="X21" s="1" t="n"/>
      <c r="Y21" s="1" t="n"/>
      <c r="Z21" s="1" t="n"/>
      <c r="AA21" s="1" t="n"/>
      <c r="AB21" s="1" t="n"/>
      <c r="AC21" s="117" t="inlineStr">
        <is>
          <t>ปีที่</t>
        </is>
      </c>
      <c r="AD21" s="69" t="inlineStr">
        <is>
          <t>ยอดขาย (หน่วย)</t>
        </is>
      </c>
      <c r="AE21" s="112" t="inlineStr">
        <is>
          <t>รายได้รวม (บาท)</t>
        </is>
      </c>
      <c r="AF21" s="69" t="inlineStr">
        <is>
          <t>ต้นทุนสินค้า (COGS)</t>
        </is>
      </c>
      <c r="AG21" s="69" t="inlineStr">
        <is>
          <t>Gross Profit</t>
        </is>
      </c>
      <c r="AH21" s="69" t="inlineStr">
        <is>
          <t>Meta Mall</t>
        </is>
      </c>
      <c r="AI21" s="111" t="inlineStr">
        <is>
          <t>ส่วน OneCharge เฉลี่ย 10 ปี</t>
        </is>
      </c>
      <c r="AJ21" s="127" t="inlineStr">
        <is>
          <t>Bank</t>
        </is>
      </c>
      <c r="AK21" s="69" t="inlineStr">
        <is>
          <t>OPEX (บาท)</t>
        </is>
      </c>
      <c r="AL21" s="123" t="inlineStr">
        <is>
          <t>Operation Profit</t>
        </is>
      </c>
      <c r="AM21" s="1" t="n"/>
      <c r="AW21" s="1" t="n"/>
    </row>
    <row r="22" ht="20.25" customHeight="1">
      <c r="A22" s="1" t="n"/>
      <c r="B22" s="2" t="n"/>
      <c r="C22" s="11" t="inlineStr">
        <is>
          <t>รายได้ต่อเดือน</t>
        </is>
      </c>
      <c r="D22" s="12" t="n"/>
      <c r="E22" s="13">
        <f>E21/12</f>
        <v/>
      </c>
      <c r="F22" s="13">
        <f>F21/12</f>
        <v/>
      </c>
      <c r="G22" s="13">
        <f>G21/12</f>
        <v/>
      </c>
      <c r="H22" s="13">
        <f>H21/12</f>
        <v/>
      </c>
      <c r="I22" s="13">
        <f>I21/12</f>
        <v/>
      </c>
      <c r="J22" s="98">
        <f>J21/12</f>
        <v/>
      </c>
      <c r="K22" s="98">
        <f>K21/12</f>
        <v/>
      </c>
      <c r="L22" s="98">
        <f>L21/12</f>
        <v/>
      </c>
      <c r="M22" s="98">
        <f>M21/12</f>
        <v/>
      </c>
      <c r="N22" s="98">
        <f>N21/12</f>
        <v/>
      </c>
      <c r="O22" s="15" t="n"/>
      <c r="P22" s="15" t="n"/>
      <c r="Q22" s="1" t="n"/>
      <c r="R22" s="4" t="n"/>
      <c r="S22" s="1" t="n"/>
      <c r="T22" s="12" t="n"/>
      <c r="U22" s="1" t="n"/>
      <c r="V22" s="2" t="n"/>
      <c r="W22" s="1" t="n"/>
      <c r="X22" s="1" t="n"/>
      <c r="Y22" s="1" t="n"/>
      <c r="Z22" s="1" t="n"/>
      <c r="AA22" s="1" t="n"/>
      <c r="AB22" s="1" t="n"/>
      <c r="AC22" s="118" t="inlineStr">
        <is>
          <t>ราคา/หน่วย</t>
        </is>
      </c>
      <c r="AD22" s="66" t="n"/>
      <c r="AE22" s="138">
        <f>E$9</f>
        <v/>
      </c>
      <c r="AF22" s="139">
        <f>$E$10</f>
        <v/>
      </c>
      <c r="AG22" s="139" t="n"/>
      <c r="AH22" s="140">
        <f>$E$14</f>
        <v/>
      </c>
      <c r="AI22" s="140">
        <f>$D$19</f>
        <v/>
      </c>
      <c r="AJ22" s="139" t="n"/>
      <c r="AK22" s="139" t="n"/>
      <c r="AL22" s="141" t="n"/>
      <c r="AM22" s="1" t="n"/>
      <c r="AW22" s="1" t="n"/>
    </row>
    <row r="23" ht="20.25" customHeight="1">
      <c r="A23" s="1" t="n"/>
      <c r="B23" s="2" t="n"/>
      <c r="C23" s="11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" t="n"/>
      <c r="R23" s="4" t="n"/>
      <c r="S23" s="1" t="n"/>
      <c r="T23" s="1" t="n"/>
      <c r="U23" s="1" t="n"/>
      <c r="V23" s="2" t="n"/>
      <c r="W23" s="2" t="n"/>
      <c r="X23" s="2" t="n"/>
      <c r="Y23" s="2" t="n"/>
      <c r="Z23" s="1" t="n"/>
      <c r="AA23" s="1" t="n"/>
      <c r="AB23" s="1" t="n"/>
      <c r="AC23" s="118" t="n">
        <v>1</v>
      </c>
      <c r="AD23" s="71">
        <f>365*($W$3*$V$6)*$V$9*$V$10</f>
        <v/>
      </c>
      <c r="AE23" s="67">
        <f>$AD23*$AE$3</f>
        <v/>
      </c>
      <c r="AF23" s="67">
        <f>$AD23*$AF$3</f>
        <v/>
      </c>
      <c r="AG23" s="67">
        <f>AE23-AF23</f>
        <v/>
      </c>
      <c r="AH23" s="67">
        <f>$AD23*$AH$3</f>
        <v/>
      </c>
      <c r="AI23" s="67">
        <f>$AD23*$AI$22</f>
        <v/>
      </c>
      <c r="AJ23" s="67">
        <f>$V$36</f>
        <v/>
      </c>
      <c r="AK23" s="67">
        <f>(312.24*12)+6000+AH23+AI23+$V$36</f>
        <v/>
      </c>
      <c r="AL23" s="119">
        <f>AG23-AK23</f>
        <v/>
      </c>
      <c r="AM23" s="1" t="n"/>
      <c r="AW23" s="1" t="n"/>
    </row>
    <row r="24" ht="20.25" customHeight="1">
      <c r="A24" s="1" t="n"/>
      <c r="B24" s="2" t="n"/>
      <c r="C24" s="10" t="inlineStr">
        <is>
          <t>รายได้อื่นๆ</t>
        </is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" t="n"/>
      <c r="R24" s="4" t="n"/>
      <c r="S24" s="1" t="n"/>
      <c r="T24" s="1" t="n"/>
      <c r="U24" s="1" t="n"/>
      <c r="V24" s="2" t="n"/>
      <c r="W24" s="2" t="n"/>
      <c r="X24" s="2" t="n"/>
      <c r="Y24" s="2" t="n"/>
      <c r="Z24" s="1" t="n"/>
      <c r="AA24" s="1" t="n"/>
      <c r="AB24" s="1" t="n"/>
      <c r="AC24" s="118" t="n">
        <v>2</v>
      </c>
      <c r="AD24" s="67">
        <f>AD23*1.05</f>
        <v/>
      </c>
      <c r="AE24" s="67">
        <f>$AD24*$AE$3</f>
        <v/>
      </c>
      <c r="AF24" s="67">
        <f>$AD24*$AF$3</f>
        <v/>
      </c>
      <c r="AG24" s="67">
        <f>AE24-AF24</f>
        <v/>
      </c>
      <c r="AH24" s="67">
        <f>$AD24*$AH$3</f>
        <v/>
      </c>
      <c r="AI24" s="67">
        <f>$AD24*$AI$22</f>
        <v/>
      </c>
      <c r="AJ24" s="67">
        <f>$V$36</f>
        <v/>
      </c>
      <c r="AK24" s="67">
        <f>(312.24*12)+6000+AH24+AI24+$V$36</f>
        <v/>
      </c>
      <c r="AL24" s="119">
        <f>AG24-AK24</f>
        <v/>
      </c>
      <c r="AM24" s="1" t="n"/>
      <c r="AW24" s="1" t="n"/>
    </row>
    <row r="25" ht="20.25" customHeight="1">
      <c r="A25" s="1" t="n"/>
      <c r="B25" s="2" t="n"/>
      <c r="C25" s="11" t="inlineStr">
        <is>
          <t>รายได้อื่นๆ (บาท)</t>
        </is>
      </c>
      <c r="D25" s="15" t="n"/>
      <c r="E25" s="13">
        <f>365*V25*V26*V27</f>
        <v/>
      </c>
      <c r="F25" s="13">
        <f>E25*1.05</f>
        <v/>
      </c>
      <c r="G25" s="13">
        <f>F25*1.05</f>
        <v/>
      </c>
      <c r="H25" s="13">
        <f>G25*1.05</f>
        <v/>
      </c>
      <c r="I25" s="13">
        <f>H25*1.05</f>
        <v/>
      </c>
      <c r="J25" s="98">
        <f>I25*1.05</f>
        <v/>
      </c>
      <c r="K25" s="98">
        <f>J25*1.05</f>
        <v/>
      </c>
      <c r="L25" s="98">
        <f>K25*1.05</f>
        <v/>
      </c>
      <c r="M25" s="98">
        <f>L25*1.05</f>
        <v/>
      </c>
      <c r="N25" s="98">
        <f>M25*1.05</f>
        <v/>
      </c>
      <c r="O25" s="103" t="n"/>
      <c r="P25" s="103" t="n"/>
      <c r="Q25" s="1" t="n"/>
      <c r="R25" s="4" t="n"/>
      <c r="S25" s="1" t="n"/>
      <c r="T25" s="1" t="n"/>
      <c r="U25" s="1" t="n"/>
      <c r="V25" s="2" t="n"/>
      <c r="W25" s="2" t="n"/>
      <c r="X25" s="2" t="n"/>
      <c r="Y25" s="2" t="n"/>
      <c r="Z25" s="1" t="n"/>
      <c r="AA25" s="1" t="n"/>
      <c r="AB25" s="1" t="n"/>
      <c r="AC25" s="118" t="n">
        <v>3</v>
      </c>
      <c r="AD25" s="67">
        <f>AD24*1.05</f>
        <v/>
      </c>
      <c r="AE25" s="67">
        <f>$AD25*$AE$3</f>
        <v/>
      </c>
      <c r="AF25" s="67">
        <f>$AD25*$AF$3</f>
        <v/>
      </c>
      <c r="AG25" s="67">
        <f>AE25-AF25</f>
        <v/>
      </c>
      <c r="AH25" s="67">
        <f>$AD25*$AH$3</f>
        <v/>
      </c>
      <c r="AI25" s="67">
        <f>$AD25*$AI$22</f>
        <v/>
      </c>
      <c r="AJ25" s="67">
        <f>$V$36</f>
        <v/>
      </c>
      <c r="AK25" s="67">
        <f>(312.24*12)+6000+AH25+AI25+$V$36</f>
        <v/>
      </c>
      <c r="AL25" s="119">
        <f>AG25-AK25</f>
        <v/>
      </c>
      <c r="AM25" s="1" t="n"/>
      <c r="AW25" s="1" t="n"/>
    </row>
    <row r="26" ht="20.25" customHeight="1">
      <c r="A26" s="1" t="n"/>
      <c r="B26" s="2" t="n"/>
      <c r="C26" s="11" t="inlineStr">
        <is>
          <t>ต้นทุน (บาท)</t>
        </is>
      </c>
      <c r="D26" s="15" t="n"/>
      <c r="E26" s="13">
        <f>E25*0.35</f>
        <v/>
      </c>
      <c r="F26" s="13">
        <f>E26*1.07</f>
        <v/>
      </c>
      <c r="G26" s="13">
        <f>F26*1.07</f>
        <v/>
      </c>
      <c r="H26" s="13">
        <f>G26*1.07</f>
        <v/>
      </c>
      <c r="I26" s="13">
        <f>H26*1.07</f>
        <v/>
      </c>
      <c r="J26" s="98">
        <f>I26*1.07</f>
        <v/>
      </c>
      <c r="K26" s="98">
        <f>J26*1.07</f>
        <v/>
      </c>
      <c r="L26" s="98">
        <f>K26*1.07</f>
        <v/>
      </c>
      <c r="M26" s="98">
        <f>L26*1.07</f>
        <v/>
      </c>
      <c r="N26" s="98">
        <f>M26*1.07</f>
        <v/>
      </c>
      <c r="O26" s="103" t="n"/>
      <c r="P26" s="103" t="n"/>
      <c r="Q26" s="1" t="n"/>
      <c r="R26" s="4" t="n"/>
      <c r="S26" s="1" t="n"/>
      <c r="T26" s="1" t="n"/>
      <c r="U26" s="1" t="n"/>
      <c r="V26" s="2" t="n"/>
      <c r="W26" s="2" t="n"/>
      <c r="X26" s="2" t="n"/>
      <c r="Y26" s="2" t="n"/>
      <c r="Z26" s="1" t="n"/>
      <c r="AA26" s="1" t="n"/>
      <c r="AB26" s="1" t="n"/>
      <c r="AC26" s="118" t="n">
        <v>4</v>
      </c>
      <c r="AD26" s="67">
        <f>AD25*1.05</f>
        <v/>
      </c>
      <c r="AE26" s="67">
        <f>$AD26*$AE$3</f>
        <v/>
      </c>
      <c r="AF26" s="67">
        <f>$AD26*$AF$3</f>
        <v/>
      </c>
      <c r="AG26" s="67">
        <f>AE26-AF26</f>
        <v/>
      </c>
      <c r="AH26" s="67">
        <f>$AD26*$AH$3</f>
        <v/>
      </c>
      <c r="AI26" s="67">
        <f>$AD26*$AI$22</f>
        <v/>
      </c>
      <c r="AJ26" s="67">
        <f>$V$36</f>
        <v/>
      </c>
      <c r="AK26" s="67">
        <f>(312.24*12)+6000+AH26+AI26+$V$36</f>
        <v/>
      </c>
      <c r="AL26" s="119">
        <f>AG26-AK26</f>
        <v/>
      </c>
      <c r="AM26" s="1" t="n"/>
      <c r="AW26" s="1" t="n"/>
    </row>
    <row r="27" ht="20.25" customHeight="1">
      <c r="A27" s="1" t="n"/>
      <c r="B27" s="2" t="n"/>
      <c r="C27" s="11" t="n"/>
      <c r="D27" s="15" t="n"/>
      <c r="E27" s="15" t="n"/>
      <c r="F27" s="15" t="n"/>
      <c r="G27" s="15" t="inlineStr">
        <is>
          <t xml:space="preserve">  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" t="n"/>
      <c r="R27" s="4" t="n"/>
      <c r="S27" s="1" t="n"/>
      <c r="T27" s="1" t="n"/>
      <c r="U27" s="1" t="n"/>
      <c r="V27" s="2" t="n"/>
      <c r="W27" s="2" t="n"/>
      <c r="X27" s="2" t="n"/>
      <c r="Y27" s="2" t="n"/>
      <c r="Z27" s="1" t="n"/>
      <c r="AA27" s="1" t="n"/>
      <c r="AB27" s="1" t="n"/>
      <c r="AC27" s="118" t="n">
        <v>5</v>
      </c>
      <c r="AD27" s="67">
        <f>AD26*1.05</f>
        <v/>
      </c>
      <c r="AE27" s="67">
        <f>$AD27*$AE$3</f>
        <v/>
      </c>
      <c r="AF27" s="67">
        <f>$AD27*$AF$3</f>
        <v/>
      </c>
      <c r="AG27" s="67">
        <f>AE27-AF27</f>
        <v/>
      </c>
      <c r="AH27" s="67">
        <f>$AD27*$AH$3</f>
        <v/>
      </c>
      <c r="AI27" s="67">
        <f>$AD27*$AI$22</f>
        <v/>
      </c>
      <c r="AJ27" s="67">
        <f>$V$36</f>
        <v/>
      </c>
      <c r="AK27" s="67">
        <f>(312.24*12)+6000+AH27+AI27+$V$36</f>
        <v/>
      </c>
      <c r="AL27" s="119">
        <f>AG27-AK27</f>
        <v/>
      </c>
      <c r="AM27" s="1" t="n"/>
      <c r="AW27" s="1" t="n"/>
    </row>
    <row r="28" ht="20.25" customHeight="1">
      <c r="A28" s="1" t="n"/>
      <c r="B28" s="2" t="n"/>
      <c r="C28" s="7" t="inlineStr">
        <is>
          <t>ประมาณการค่าใช้จ่าย</t>
        </is>
      </c>
      <c r="D28" s="15" t="n"/>
      <c r="E28" s="163" t="n"/>
      <c r="F28" s="163" t="n"/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" t="n"/>
      <c r="R28" s="4" t="n"/>
      <c r="S28" s="9" t="inlineStr">
        <is>
          <t>Sensitivity</t>
        </is>
      </c>
      <c r="T28" s="1" t="n"/>
      <c r="U28" s="1" t="n"/>
      <c r="V28" s="2" t="n"/>
      <c r="W28" s="2" t="n"/>
      <c r="X28" s="2" t="n"/>
      <c r="Y28" s="2" t="n"/>
      <c r="Z28" s="1" t="n"/>
      <c r="AA28" s="1" t="n"/>
      <c r="AB28" s="1" t="n"/>
      <c r="AC28" s="118" t="n">
        <v>6</v>
      </c>
      <c r="AD28" s="67">
        <f>AD27*1.05</f>
        <v/>
      </c>
      <c r="AE28" s="67">
        <f>$AD28*$AE$3</f>
        <v/>
      </c>
      <c r="AF28" s="67">
        <f>$AD28*$AF$3</f>
        <v/>
      </c>
      <c r="AG28" s="67">
        <f>AE28-AF28</f>
        <v/>
      </c>
      <c r="AH28" s="67">
        <f>$AD28*$AH$3</f>
        <v/>
      </c>
      <c r="AI28" s="67">
        <f>$AD28*$AI$22</f>
        <v/>
      </c>
      <c r="AJ28" s="67" t="n">
        <v>0</v>
      </c>
      <c r="AK28" s="67">
        <f>(312.24*12)+6000+AH28+AI28</f>
        <v/>
      </c>
      <c r="AL28" s="119">
        <f>AG28-AK28</f>
        <v/>
      </c>
      <c r="AM28" s="1" t="n"/>
      <c r="AW28" s="1" t="n"/>
    </row>
    <row r="29" ht="20.25" customHeight="1">
      <c r="A29" s="1" t="n"/>
      <c r="B29" s="2" t="n"/>
      <c r="C29" s="11" t="inlineStr">
        <is>
          <t>เงินลงทุนในสินทรัพย์ถาวร - CAPEX</t>
        </is>
      </c>
      <c r="D29" s="13">
        <f>Loan!B2</f>
        <v/>
      </c>
      <c r="E29" s="1" t="inlineStr">
        <is>
          <t>บาท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4" t="n"/>
      <c r="S29" s="14" t="n">
        <v>1</v>
      </c>
      <c r="T29" s="1" t="n"/>
      <c r="U29" s="1" t="n"/>
      <c r="V29" s="2" t="n"/>
      <c r="W29" s="2" t="n"/>
      <c r="X29" s="2" t="n"/>
      <c r="Y29" s="2" t="n"/>
      <c r="Z29" s="1" t="n"/>
      <c r="AA29" s="1" t="n"/>
      <c r="AB29" s="1" t="n"/>
      <c r="AC29" s="118" t="n">
        <v>7</v>
      </c>
      <c r="AD29" s="67">
        <f>AD28*1.05</f>
        <v/>
      </c>
      <c r="AE29" s="67">
        <f>$AD29*$AE$3</f>
        <v/>
      </c>
      <c r="AF29" s="67">
        <f>$AD29*$AF$3</f>
        <v/>
      </c>
      <c r="AG29" s="67">
        <f>AE29-AF29</f>
        <v/>
      </c>
      <c r="AH29" s="67">
        <f>$AD29*$AH$3</f>
        <v/>
      </c>
      <c r="AI29" s="67">
        <f>$AD29*$AI$22</f>
        <v/>
      </c>
      <c r="AJ29" s="67" t="n">
        <v>0</v>
      </c>
      <c r="AK29" s="67">
        <f>(312.24*12)+6000+AH29+AI29</f>
        <v/>
      </c>
      <c r="AL29" s="119">
        <f>AG29-AK29</f>
        <v/>
      </c>
      <c r="AM29" s="1" t="n"/>
      <c r="AW29" s="1" t="n"/>
    </row>
    <row r="30" ht="20.25" customHeight="1">
      <c r="A30" s="1" t="n"/>
      <c r="B30" s="2" t="n"/>
      <c r="C30" s="11" t="inlineStr">
        <is>
          <t xml:space="preserve">ค่าใช้จ่ายในการขายและบริหาร - </t>
        </is>
      </c>
      <c r="D30" s="16" t="n"/>
      <c r="E30" s="13">
        <f>(132.93*$V$30*12)+(312.24*12)+($V$33*4*12)+E$21+E$15+(2000*3)+V36</f>
        <v/>
      </c>
      <c r="F30" s="13">
        <f>(132.93*$V$30*12)+(312.24*12)+($V$33*4*12)+F$21+F$15+(2000*3)+V36</f>
        <v/>
      </c>
      <c r="G30" s="13">
        <f>(132.93*$V$30*12)+(312.24*12)+($V$33*4*12)+G$21+G$15+(2000*3)+V36</f>
        <v/>
      </c>
      <c r="H30" s="13">
        <f>(132.93*$V$30*12)+(312.24*12)+($V$33*4*12)+H$21+H$15+(2000*3)+V36</f>
        <v/>
      </c>
      <c r="I30" s="13">
        <f>(132.93*$V$30*12)+(312.24*12)+($V$33*4*12)+I$21+I$15+(2000*3)+V36</f>
        <v/>
      </c>
      <c r="J30" s="98">
        <f>(132.93*$V$30*12)+(312.24*12)+($V$33*4*12)+J$21+J$15+(2000*3)</f>
        <v/>
      </c>
      <c r="K30" s="98">
        <f>(132.93*$V$30*12)+(312.24*12)+($V$33*4*12)+K$21+K$15+(2000*3)</f>
        <v/>
      </c>
      <c r="L30" s="98">
        <f>(132.93*$V$30*12)+(312.24*12)+($V$33*4*12)+L$21+L$15+(2000*3)</f>
        <v/>
      </c>
      <c r="M30" s="98">
        <f>(132.93*$V$30*12)+(312.24*12)+($V$33*4*12)+M$21+M$15+(2000*3)</f>
        <v/>
      </c>
      <c r="N30" s="98">
        <f>(132.93*$V$30*12)+(312.24*12)+($V$33*4*12)+N$21+N$15+(2000*3)</f>
        <v/>
      </c>
      <c r="O30" s="103">
        <f>AVERAGE(E30:N30)</f>
        <v/>
      </c>
      <c r="P30" s="103">
        <f>SUM(F30:N30)</f>
        <v/>
      </c>
      <c r="Q30" s="1" t="n"/>
      <c r="R30" s="4" t="n"/>
      <c r="S30" s="1" t="n"/>
      <c r="T30" s="151" t="n"/>
      <c r="U30" s="164" t="inlineStr">
        <is>
          <t>Demand Fee</t>
        </is>
      </c>
      <c r="V30" s="2" t="n"/>
      <c r="W30" s="2" t="n"/>
      <c r="X30" s="2" t="n"/>
      <c r="Y30" s="2" t="n"/>
      <c r="Z30" s="1" t="n"/>
      <c r="AA30" s="1" t="n"/>
      <c r="AB30" s="1" t="n"/>
      <c r="AC30" s="118" t="n">
        <v>8</v>
      </c>
      <c r="AD30" s="67">
        <f>AD29*1.05</f>
        <v/>
      </c>
      <c r="AE30" s="67">
        <f>$AD30*$AE$3</f>
        <v/>
      </c>
      <c r="AF30" s="67">
        <f>$AD30*$AF$3</f>
        <v/>
      </c>
      <c r="AG30" s="67">
        <f>AE30-AF30</f>
        <v/>
      </c>
      <c r="AH30" s="67">
        <f>$AD30*$AH$3</f>
        <v/>
      </c>
      <c r="AI30" s="67">
        <f>$AD30*$AI$22</f>
        <v/>
      </c>
      <c r="AJ30" s="67" t="n">
        <v>0</v>
      </c>
      <c r="AK30" s="67">
        <f>(312.24*12)+6000+AH30+AI30</f>
        <v/>
      </c>
      <c r="AL30" s="119">
        <f>AG30-AK30</f>
        <v/>
      </c>
      <c r="AM30" s="1" t="n"/>
      <c r="AW30" s="1" t="n"/>
    </row>
    <row r="31" ht="20.25" customHeight="1">
      <c r="A31" s="1" t="n"/>
      <c r="B31" s="2" t="n"/>
      <c r="C31" s="11" t="inlineStr">
        <is>
          <t>ค่าใช้จ่ายในการขายและบริหาร ต่อหน่วยยอดขายสินค้า</t>
        </is>
      </c>
      <c r="D31" s="16" t="n"/>
      <c r="E31" s="148">
        <f>E30/E8</f>
        <v/>
      </c>
      <c r="F31" s="148">
        <f>F30/F8</f>
        <v/>
      </c>
      <c r="G31" s="148">
        <f>G30/G8</f>
        <v/>
      </c>
      <c r="H31" s="148">
        <f>H30/H8</f>
        <v/>
      </c>
      <c r="I31" s="148">
        <f>I30/I8</f>
        <v/>
      </c>
      <c r="J31" s="149">
        <f>J30/J8</f>
        <v/>
      </c>
      <c r="K31" s="149">
        <f>K30/K8</f>
        <v/>
      </c>
      <c r="L31" s="149">
        <f>L30/L8</f>
        <v/>
      </c>
      <c r="M31" s="149">
        <f>M30/M8</f>
        <v/>
      </c>
      <c r="N31" s="149">
        <f>N30/N8</f>
        <v/>
      </c>
      <c r="O31" s="165">
        <f>AVERAGE(E31:N31)</f>
        <v/>
      </c>
      <c r="P31" s="166" t="n"/>
      <c r="Q31" s="1" t="n"/>
      <c r="R31" s="4" t="n"/>
      <c r="S31" s="1" t="n"/>
      <c r="T31" s="151" t="n"/>
      <c r="U31" s="164" t="n"/>
      <c r="V31" s="2" t="n"/>
      <c r="W31" s="2" t="n"/>
      <c r="X31" s="2" t="n"/>
      <c r="Y31" s="2" t="n"/>
      <c r="Z31" s="1" t="n"/>
      <c r="AA31" s="1" t="n"/>
      <c r="AB31" s="1" t="n"/>
      <c r="AC31" s="118" t="n">
        <v>9</v>
      </c>
      <c r="AD31" s="67">
        <f>AD30*1.05</f>
        <v/>
      </c>
      <c r="AE31" s="67">
        <f>$AD31*$AE$3</f>
        <v/>
      </c>
      <c r="AF31" s="67">
        <f>$AD31*$AF$3</f>
        <v/>
      </c>
      <c r="AG31" s="67">
        <f>AE31-AF31</f>
        <v/>
      </c>
      <c r="AH31" s="67">
        <f>$AD31*$AH$3</f>
        <v/>
      </c>
      <c r="AI31" s="67">
        <f>$AD31*$AI$22</f>
        <v/>
      </c>
      <c r="AJ31" s="67" t="n">
        <v>0</v>
      </c>
      <c r="AK31" s="67">
        <f>(312.24*12)+6000+AH31+AI31</f>
        <v/>
      </c>
      <c r="AL31" s="119">
        <f>AG31-AK31</f>
        <v/>
      </c>
      <c r="AM31" s="1" t="n"/>
      <c r="AW31" s="1" t="n"/>
    </row>
    <row r="32" ht="20.25" customHeight="1">
      <c r="A32" s="1" t="n"/>
      <c r="B32" s="2" t="n"/>
      <c r="C32" s="11" t="n"/>
      <c r="D32" s="16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4" t="n"/>
      <c r="S32" s="1" t="n"/>
      <c r="T32" s="151" t="n"/>
      <c r="U32" s="151" t="n"/>
      <c r="V32" s="2" t="n"/>
      <c r="W32" s="2" t="n"/>
      <c r="X32" s="2" t="n"/>
      <c r="Y32" s="2" t="n"/>
      <c r="Z32" s="1" t="n"/>
      <c r="AA32" s="1" t="n"/>
      <c r="AB32" s="1" t="n"/>
      <c r="AC32" s="118" t="n">
        <v>10</v>
      </c>
      <c r="AD32" s="67">
        <f>AD31*1.05</f>
        <v/>
      </c>
      <c r="AE32" s="67">
        <f>$AD32*$AE$3</f>
        <v/>
      </c>
      <c r="AF32" s="67">
        <f>$AD32*$AF$3</f>
        <v/>
      </c>
      <c r="AG32" s="67">
        <f>AE32-AF32</f>
        <v/>
      </c>
      <c r="AH32" s="67">
        <f>$AD32*$AH$3</f>
        <v/>
      </c>
      <c r="AI32" s="67">
        <f>$AD32*$AI$22</f>
        <v/>
      </c>
      <c r="AJ32" s="67" t="n">
        <v>0</v>
      </c>
      <c r="AK32" s="67">
        <f>(312.24*12)+6000+AH32+AI32</f>
        <v/>
      </c>
      <c r="AL32" s="119">
        <f>AG32-AK32</f>
        <v/>
      </c>
      <c r="AM32" s="1" t="n"/>
      <c r="AW32" s="1" t="n"/>
    </row>
    <row r="33" ht="20.25" customHeight="1" thickBot="1">
      <c r="A33" s="1" t="n"/>
      <c r="B33" s="2" t="n"/>
      <c r="C33" s="11" t="inlineStr">
        <is>
          <t>ประมาณการอายุใช้งานสินทรัพย์</t>
        </is>
      </c>
      <c r="D33" s="13" t="n">
        <v>10</v>
      </c>
      <c r="E33" s="1" t="inlineStr">
        <is>
          <t>ปี</t>
        </is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4" t="n"/>
      <c r="S33" s="1" t="n"/>
      <c r="U33" s="1" t="inlineStr">
        <is>
          <t>เช่าที่จอดรถ</t>
        </is>
      </c>
      <c r="V33" s="60" t="n"/>
      <c r="W33" s="1" t="inlineStr">
        <is>
          <t>บาท / ช่อง</t>
        </is>
      </c>
      <c r="X33" s="1" t="n"/>
      <c r="Y33" s="1" t="n"/>
      <c r="Z33" s="1" t="n"/>
      <c r="AA33" s="1" t="n"/>
      <c r="AB33" s="1" t="n"/>
      <c r="AC33" s="120" t="inlineStr">
        <is>
          <t>รวม</t>
        </is>
      </c>
      <c r="AD33" s="121">
        <f>SUM(AD23:AD32)</f>
        <v/>
      </c>
      <c r="AE33" s="121">
        <f>SUM(AE23:AE32)</f>
        <v/>
      </c>
      <c r="AF33" s="121">
        <f>SUM(AF23:AF32)</f>
        <v/>
      </c>
      <c r="AG33" s="121">
        <f>SUM(AG23:AG32)</f>
        <v/>
      </c>
      <c r="AH33" s="121">
        <f>SUM(AH23:AH32)</f>
        <v/>
      </c>
      <c r="AI33" s="121">
        <f>SUM(AI23:AI32)</f>
        <v/>
      </c>
      <c r="AJ33" s="121">
        <f>SUM(AJ23:AJ32)</f>
        <v/>
      </c>
      <c r="AK33" s="121">
        <f>SUM(AK23:AK32)</f>
        <v/>
      </c>
      <c r="AL33" s="122" t="n"/>
      <c r="AM33" s="1" t="n"/>
      <c r="AW33" s="1" t="n"/>
    </row>
    <row r="34" ht="20.25" customHeight="1">
      <c r="A34" s="1" t="n"/>
      <c r="B34" s="2" t="n"/>
      <c r="C34" s="11" t="n"/>
      <c r="D34" s="15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4" t="n"/>
      <c r="S34" s="1" t="n"/>
      <c r="U34" s="1" t="n"/>
      <c r="V34" s="2" t="n"/>
      <c r="W34" s="1" t="n"/>
      <c r="X34" s="1" t="n"/>
      <c r="Y34" s="1" t="n"/>
      <c r="Z34" s="1" t="n"/>
      <c r="AA34" s="1" t="n"/>
      <c r="AB34" s="1" t="n"/>
      <c r="AC34" s="113" t="n"/>
      <c r="AD34" s="114" t="n"/>
      <c r="AE34" s="114" t="n"/>
      <c r="AF34" s="115" t="n"/>
      <c r="AG34" s="115" t="inlineStr">
        <is>
          <t xml:space="preserve">เฉลี่ย 10 ปี ปีละ </t>
        </is>
      </c>
      <c r="AH34" s="157">
        <f>AH33/10</f>
        <v/>
      </c>
      <c r="AI34" s="157">
        <f>AI33/10</f>
        <v/>
      </c>
      <c r="AJ34" s="115" t="n"/>
      <c r="AK34" s="115" t="n"/>
      <c r="AL34" s="126">
        <f>SUM(AL23:AL32)</f>
        <v/>
      </c>
      <c r="AM34" s="1" t="n"/>
      <c r="AW34" s="1" t="n"/>
    </row>
    <row r="35" ht="20.25" customHeight="1">
      <c r="A35" s="1" t="n"/>
      <c r="B35" s="2" t="n"/>
      <c r="C35" s="7" t="inlineStr">
        <is>
          <t>อัตราภาษีเงินได้นิติบุคคล</t>
        </is>
      </c>
      <c r="D35" s="17" t="n">
        <v>0.2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4" t="n"/>
      <c r="S35" s="1" t="n"/>
      <c r="T35" s="1" t="n"/>
      <c r="U35" s="1" t="inlineStr">
        <is>
          <t>ผ่อน Bank รวมดอกเบี้ย</t>
        </is>
      </c>
      <c r="V35" s="152">
        <f>0</f>
        <v/>
      </c>
      <c r="W35" s="1" t="inlineStr">
        <is>
          <t>บาท / เดือน</t>
        </is>
      </c>
      <c r="X35" s="1" t="n"/>
      <c r="Y35" s="1" t="n"/>
      <c r="Z35" s="1" t="n"/>
      <c r="AA35" s="1" t="n"/>
      <c r="AB35" s="1" t="n"/>
      <c r="AF35" s="68" t="n"/>
      <c r="AG35" s="68" t="inlineStr">
        <is>
          <t xml:space="preserve">เดือนละ </t>
        </is>
      </c>
      <c r="AH35" s="158">
        <f>AH34/12</f>
        <v/>
      </c>
      <c r="AI35" s="158">
        <f>AI34/12</f>
        <v/>
      </c>
      <c r="AJ35" s="68" t="n"/>
      <c r="AK35" s="68" t="n"/>
      <c r="AM35" s="1" t="n"/>
      <c r="AW35" s="1" t="n"/>
    </row>
    <row r="36" ht="20.25" customHeight="1">
      <c r="A36" s="1" t="n"/>
      <c r="B36" s="2" t="n"/>
      <c r="C36" s="7" t="inlineStr">
        <is>
          <t>ประมาณการเงินทุนหมุนเวียน</t>
        </is>
      </c>
      <c r="D36" s="17" t="n">
        <v>0.1</v>
      </c>
      <c r="E36" s="1" t="inlineStr">
        <is>
          <t>ของยอดขาย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4" t="n"/>
      <c r="S36" s="1" t="n"/>
      <c r="T36" s="1" t="n"/>
      <c r="U36" s="1" t="inlineStr">
        <is>
          <t>ผ่อน Bank รวมดอกเบี้ย</t>
        </is>
      </c>
      <c r="V36" s="152">
        <f>V35*12</f>
        <v/>
      </c>
      <c r="W36" s="1" t="inlineStr">
        <is>
          <t>บาท / ปี</t>
        </is>
      </c>
      <c r="X36" s="1" t="n"/>
      <c r="Y36" s="1" t="n"/>
      <c r="Z36" s="1" t="n"/>
      <c r="AA36" s="1" t="n"/>
      <c r="AB36" s="1" t="n"/>
      <c r="AF36" s="68" t="n"/>
      <c r="AG36" s="68" t="inlineStr">
        <is>
          <t>เทียบค่าเช่าต่อช่อง</t>
        </is>
      </c>
      <c r="AH36" s="159">
        <f>AH35/6</f>
        <v/>
      </c>
      <c r="AJ36" s="68" t="n"/>
      <c r="AK36" s="68" t="n"/>
      <c r="AM36" s="1" t="n"/>
      <c r="AW36" s="1" t="n"/>
    </row>
    <row r="37" ht="20.25" customHeight="1">
      <c r="A37" s="1" t="n"/>
      <c r="B37" s="2" t="n"/>
      <c r="C37" s="7" t="inlineStr">
        <is>
          <t>อัตราผลตอบแทนที่ต้องการ *</t>
        </is>
      </c>
      <c r="D37" s="17" t="n">
        <v>0.25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4" t="n"/>
      <c r="S37" s="1" t="n"/>
      <c r="T37" s="1" t="n"/>
      <c r="U37" s="1" t="n"/>
      <c r="V37" s="2" t="n"/>
      <c r="W37" s="1" t="n"/>
      <c r="X37" s="1" t="n"/>
      <c r="Y37" s="1" t="n"/>
      <c r="Z37" s="1" t="n"/>
      <c r="AA37" s="1" t="n"/>
      <c r="AB37" s="1" t="n"/>
      <c r="AC37" s="37" t="n"/>
      <c r="AM37" s="1" t="n"/>
      <c r="AW37" s="1" t="n"/>
    </row>
    <row r="38" ht="20.25" customHeight="1" thickBot="1">
      <c r="A38" s="1" t="n"/>
      <c r="B38" s="2" t="n"/>
      <c r="C38" s="1" t="inlineStr">
        <is>
          <t>* ใช้เป็นอัตราคิดลด</t>
        </is>
      </c>
      <c r="D38" s="18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4" t="n"/>
      <c r="S38" s="1" t="n"/>
      <c r="T38" s="1" t="n"/>
      <c r="U38" s="1" t="n"/>
      <c r="V38" s="2" t="n"/>
      <c r="W38" s="1" t="n"/>
      <c r="X38" s="1" t="n"/>
      <c r="Y38" s="1" t="n"/>
      <c r="Z38" s="1" t="n"/>
      <c r="AA38" s="1" t="n"/>
      <c r="AB38" s="1" t="n"/>
      <c r="AC38" s="37" t="n"/>
      <c r="AM38" s="1" t="n"/>
      <c r="AW38" s="1" t="n"/>
    </row>
    <row r="39" ht="20.25" customHeight="1">
      <c r="A39" s="1" t="n"/>
      <c r="B39" s="2" t="n"/>
      <c r="C39" s="10" t="n"/>
      <c r="D39" s="1" t="n"/>
      <c r="E39" s="1" t="n"/>
      <c r="F39" s="1" t="n"/>
      <c r="G39" s="1" t="n"/>
      <c r="H39" s="1" t="n"/>
      <c r="I39" s="19" t="n"/>
      <c r="K39" s="19" t="n"/>
      <c r="L39" s="19" t="n"/>
      <c r="M39" s="19" t="n"/>
      <c r="N39" s="19" t="inlineStr">
        <is>
          <t>หน่วย : พันบาท</t>
        </is>
      </c>
      <c r="Q39" s="1" t="n"/>
      <c r="R39" s="4" t="n"/>
      <c r="S39" s="1" t="n"/>
      <c r="T39" s="1" t="n"/>
      <c r="U39" s="1" t="n"/>
      <c r="V39" s="2" t="n"/>
      <c r="W39" s="1" t="n"/>
      <c r="X39" s="1" t="n"/>
      <c r="Y39" s="1" t="n"/>
      <c r="Z39" s="1" t="n"/>
      <c r="AA39" s="1" t="n"/>
      <c r="AB39" s="1" t="n"/>
      <c r="AC39" s="132" t="inlineStr">
        <is>
          <t>Best Case (15 คัน/ช่อง/วัน): ใช้พื้นที่ 23.4% ของวัน</t>
        </is>
      </c>
      <c r="AD39" s="135" t="n"/>
      <c r="AE39" s="135" t="n"/>
      <c r="AF39" s="135" t="n"/>
      <c r="AG39" s="135" t="n"/>
      <c r="AH39" s="135" t="n"/>
      <c r="AI39" s="135" t="n"/>
      <c r="AJ39" s="135" t="n"/>
      <c r="AK39" s="135" t="n"/>
      <c r="AL39" s="136" t="n"/>
      <c r="AM39" s="1" t="n"/>
      <c r="AW39" s="1" t="n"/>
    </row>
    <row r="40" ht="20.25" customHeight="1">
      <c r="A40" s="1" t="n"/>
      <c r="B40" s="2" t="n"/>
      <c r="C40" s="84" t="n"/>
      <c r="D40" s="85" t="inlineStr">
        <is>
          <t>ปีที่ 0</t>
        </is>
      </c>
      <c r="E40" s="85" t="inlineStr">
        <is>
          <t>ปีที่ 1</t>
        </is>
      </c>
      <c r="F40" s="85" t="inlineStr">
        <is>
          <t>ปีที่ 2</t>
        </is>
      </c>
      <c r="G40" s="85" t="inlineStr">
        <is>
          <t>ปีที่ 3</t>
        </is>
      </c>
      <c r="H40" s="85" t="inlineStr">
        <is>
          <t>ปีที่ 4</t>
        </is>
      </c>
      <c r="I40" s="85" t="inlineStr">
        <is>
          <t>ปีที่ 5</t>
        </is>
      </c>
      <c r="J40" s="85" t="inlineStr">
        <is>
          <t>ปีที่ 6</t>
        </is>
      </c>
      <c r="K40" s="85" t="inlineStr">
        <is>
          <t>ปีที่ 7</t>
        </is>
      </c>
      <c r="L40" s="85" t="inlineStr">
        <is>
          <t>ปีที่ 8</t>
        </is>
      </c>
      <c r="M40" s="85" t="inlineStr">
        <is>
          <t>ปีที่ 9</t>
        </is>
      </c>
      <c r="N40" s="85" t="inlineStr">
        <is>
          <t>ปีที่ 10</t>
        </is>
      </c>
      <c r="O40" s="85" t="inlineStr">
        <is>
          <t>Average</t>
        </is>
      </c>
      <c r="P40" s="85" t="inlineStr">
        <is>
          <t xml:space="preserve"> Accumulate</t>
        </is>
      </c>
      <c r="Q40" s="1" t="n"/>
      <c r="R40" s="4" t="n"/>
      <c r="S40" s="1" t="n"/>
      <c r="T40" s="1" t="n"/>
      <c r="U40" s="1" t="n"/>
      <c r="V40" s="2" t="n"/>
      <c r="W40" s="1" t="n"/>
      <c r="X40" s="1" t="n"/>
      <c r="Y40" s="1" t="n"/>
      <c r="Z40" s="1" t="n"/>
      <c r="AA40" s="1" t="n"/>
      <c r="AB40" s="1" t="n"/>
      <c r="AC40" s="117" t="inlineStr">
        <is>
          <t>ปีที่</t>
        </is>
      </c>
      <c r="AD40" s="69" t="inlineStr">
        <is>
          <t>ยอดขาย (หน่วย)</t>
        </is>
      </c>
      <c r="AE40" s="112" t="inlineStr">
        <is>
          <t>รายได้รวม (บาท)</t>
        </is>
      </c>
      <c r="AF40" s="69" t="inlineStr">
        <is>
          <t>ต้นทุนสินค้า (COGS)</t>
        </is>
      </c>
      <c r="AG40" s="69" t="inlineStr">
        <is>
          <t>Gross Profit</t>
        </is>
      </c>
      <c r="AH40" s="69" t="inlineStr">
        <is>
          <t>Meta Mall</t>
        </is>
      </c>
      <c r="AI40" s="111" t="inlineStr">
        <is>
          <t>ส่วน OneCharge เฉลี่ย 10 ปี</t>
        </is>
      </c>
      <c r="AJ40" s="127" t="inlineStr">
        <is>
          <t>Bank</t>
        </is>
      </c>
      <c r="AK40" s="69" t="inlineStr">
        <is>
          <t>OPEX (บาท)</t>
        </is>
      </c>
      <c r="AL40" s="123" t="inlineStr">
        <is>
          <t>Operation Profit</t>
        </is>
      </c>
      <c r="AM40" s="1" t="n"/>
      <c r="AW40" s="1" t="n"/>
    </row>
    <row r="41" ht="20.25" customHeight="1">
      <c r="A41" s="1" t="n"/>
      <c r="B41" s="2" t="n">
        <v>1</v>
      </c>
      <c r="C41" s="86" t="inlineStr">
        <is>
          <t>รายได้</t>
        </is>
      </c>
      <c r="D41" s="167">
        <f>(D8*D9*$S$41)/1000</f>
        <v/>
      </c>
      <c r="E41" s="167">
        <f>(((E8*E9)+E25)*$S$41)/1000</f>
        <v/>
      </c>
      <c r="F41" s="167">
        <f>(((F8*F9)+F25)*$S$41)/1000</f>
        <v/>
      </c>
      <c r="G41" s="167">
        <f>(((G8*G9)+G25)*$S$41)/1000</f>
        <v/>
      </c>
      <c r="H41" s="167">
        <f>(((H8*H9)+H25)*$S$41)/1000</f>
        <v/>
      </c>
      <c r="I41" s="167">
        <f>(((I8*I9)+I25)*$S$41)/1000</f>
        <v/>
      </c>
      <c r="J41" s="167">
        <f>(((J8*J9)+J25)*$S$41)/1000</f>
        <v/>
      </c>
      <c r="K41" s="167">
        <f>(((K8*K9)+K25)*$S$41)/1000</f>
        <v/>
      </c>
      <c r="L41" s="167">
        <f>(((L8*L9)+L25)*$S$41)/1000</f>
        <v/>
      </c>
      <c r="M41" s="167">
        <f>(((M8*M9)+M25)*$S$41)/1000</f>
        <v/>
      </c>
      <c r="N41" s="167">
        <f>(((N8*N9)+N25)*$S$41)/1000</f>
        <v/>
      </c>
      <c r="O41" s="168">
        <f>AVERAGE(D41:N41)</f>
        <v/>
      </c>
      <c r="P41" s="168">
        <f>SUM(E41:N41)</f>
        <v/>
      </c>
      <c r="Q41" s="1" t="n"/>
      <c r="R41" s="4" t="n"/>
      <c r="S41" s="14" t="n">
        <v>1</v>
      </c>
      <c r="T41" s="169" t="n"/>
      <c r="U41" s="169" t="n"/>
      <c r="V41" s="2" t="n"/>
      <c r="W41" s="1" t="n"/>
      <c r="X41" s="1" t="n"/>
      <c r="Y41" s="1" t="n"/>
      <c r="Z41" s="1" t="n"/>
      <c r="AA41" s="1" t="n"/>
      <c r="AB41" s="1" t="n"/>
      <c r="AC41" s="118" t="inlineStr">
        <is>
          <t>ราคา/หน่วย</t>
        </is>
      </c>
      <c r="AD41" s="66" t="n"/>
      <c r="AE41" s="138">
        <f>E$9</f>
        <v/>
      </c>
      <c r="AF41" s="139">
        <f>$E$10</f>
        <v/>
      </c>
      <c r="AG41" s="139" t="n"/>
      <c r="AH41" s="140">
        <f>$E$14</f>
        <v/>
      </c>
      <c r="AI41" s="140">
        <f>$D$19</f>
        <v/>
      </c>
      <c r="AJ41" s="139" t="n"/>
      <c r="AK41" s="139" t="n"/>
      <c r="AL41" s="141" t="n"/>
      <c r="AM41" s="1" t="n"/>
      <c r="AW41" s="1" t="n"/>
    </row>
    <row r="42" ht="20.25" customHeight="1">
      <c r="A42" s="1" t="n"/>
      <c r="B42" s="2">
        <f>B41+1</f>
        <v/>
      </c>
      <c r="C42" s="86" t="inlineStr">
        <is>
          <t>ต้นทุนขาย</t>
        </is>
      </c>
      <c r="D42" s="170">
        <f>-(D8*D10*$S$42)/1000</f>
        <v/>
      </c>
      <c r="E42" s="170">
        <f>-(((E8*E10)+E26)*$S$42)/1000</f>
        <v/>
      </c>
      <c r="F42" s="170">
        <f>-(((F8*F10)+F26)*$S$42)/1000</f>
        <v/>
      </c>
      <c r="G42" s="170">
        <f>-(((G8*G10)+G26)*$S$42)/1000</f>
        <v/>
      </c>
      <c r="H42" s="170">
        <f>-(((H8*H10)+H26)*$S$42)/1000</f>
        <v/>
      </c>
      <c r="I42" s="170">
        <f>-(((I8*I10)+I26)*$S$42)/1000</f>
        <v/>
      </c>
      <c r="J42" s="170">
        <f>-(((J8*J10)+J26)*$S$42)/1000</f>
        <v/>
      </c>
      <c r="K42" s="170">
        <f>-(((K8*K10)+K26)*$S$42)/1000</f>
        <v/>
      </c>
      <c r="L42" s="170">
        <f>-(((L8*L10)+L26)*$S$42)/1000</f>
        <v/>
      </c>
      <c r="M42" s="170">
        <f>-(((M8*M10)+M26)*$S$42)/1000</f>
        <v/>
      </c>
      <c r="N42" s="170">
        <f>-(((N8*N10)+N26)*$S$42)/1000</f>
        <v/>
      </c>
      <c r="O42" s="168">
        <f>AVERAGE(D42:N42)</f>
        <v/>
      </c>
      <c r="P42" s="168">
        <f>SUM(E42:N42)</f>
        <v/>
      </c>
      <c r="Q42" s="1" t="n"/>
      <c r="R42" s="4" t="n"/>
      <c r="S42" s="14" t="n">
        <v>1</v>
      </c>
      <c r="T42" s="169" t="n"/>
      <c r="V42" s="2" t="n"/>
      <c r="W42" s="1" t="n"/>
      <c r="X42" s="1" t="n"/>
      <c r="Y42" s="1" t="n"/>
      <c r="Z42" s="1" t="n"/>
      <c r="AA42" s="1" t="n"/>
      <c r="AB42" s="1" t="n"/>
      <c r="AC42" s="118" t="n">
        <v>1</v>
      </c>
      <c r="AD42" s="71">
        <f>365*($W$4*$V$6)*$V$9*$V$10</f>
        <v/>
      </c>
      <c r="AE42" s="67">
        <f>$AD42*$AE$3</f>
        <v/>
      </c>
      <c r="AF42" s="67">
        <f>$AD42*$AF$3</f>
        <v/>
      </c>
      <c r="AG42" s="67">
        <f>AE42-AF42</f>
        <v/>
      </c>
      <c r="AH42" s="67">
        <f>$AD42*$AH$3</f>
        <v/>
      </c>
      <c r="AI42" s="67">
        <f>$AD42*$AI$41</f>
        <v/>
      </c>
      <c r="AJ42" s="67">
        <f>$V$36</f>
        <v/>
      </c>
      <c r="AK42" s="67">
        <f>(312.24*12)+6000+AH42+AI42+$V$36</f>
        <v/>
      </c>
      <c r="AL42" s="119">
        <f>AG42-AK42</f>
        <v/>
      </c>
      <c r="AM42" s="1" t="n"/>
      <c r="AW42" s="1" t="n"/>
    </row>
    <row r="43" ht="20.25" customHeight="1">
      <c r="A43" s="1" t="n"/>
      <c r="B43" s="2">
        <f>B42+1</f>
        <v/>
      </c>
      <c r="C43" s="92" t="inlineStr">
        <is>
          <t>กำไรขั้นต้น Gross Profit</t>
        </is>
      </c>
      <c r="D43" s="171">
        <f>D41+D42</f>
        <v/>
      </c>
      <c r="E43" s="171">
        <f>E41+E42</f>
        <v/>
      </c>
      <c r="F43" s="171">
        <f>F41+F42</f>
        <v/>
      </c>
      <c r="G43" s="171">
        <f>G41+G42</f>
        <v/>
      </c>
      <c r="H43" s="171">
        <f>H41+H42</f>
        <v/>
      </c>
      <c r="I43" s="171">
        <f>I41+I42</f>
        <v/>
      </c>
      <c r="J43" s="172">
        <f>J41+J42</f>
        <v/>
      </c>
      <c r="K43" s="172">
        <f>K41+K42</f>
        <v/>
      </c>
      <c r="L43" s="172">
        <f>L41+L42</f>
        <v/>
      </c>
      <c r="M43" s="172">
        <f>M41+M42</f>
        <v/>
      </c>
      <c r="N43" s="172">
        <f>N41+N42</f>
        <v/>
      </c>
      <c r="O43" s="168">
        <f>AVERAGE(D43:N43)</f>
        <v/>
      </c>
      <c r="P43" s="168">
        <f>SUM(E43:N43)</f>
        <v/>
      </c>
      <c r="Q43" s="1" t="n"/>
      <c r="R43" s="4" t="n"/>
      <c r="S43" s="2" t="n"/>
      <c r="T43" s="169" t="n"/>
      <c r="U43" s="63">
        <f>1-(-1*AVERAGE(F42:N42))/AVERAGE(F41:N41)</f>
        <v/>
      </c>
      <c r="V43" s="2" t="inlineStr">
        <is>
          <t>GP</t>
        </is>
      </c>
      <c r="W43" s="1" t="n"/>
      <c r="X43" s="1" t="n"/>
      <c r="Y43" s="1" t="n"/>
      <c r="Z43" s="1" t="n"/>
      <c r="AA43" s="1" t="n"/>
      <c r="AB43" s="1" t="n"/>
      <c r="AC43" s="118" t="n">
        <v>2</v>
      </c>
      <c r="AD43" s="67">
        <f>AD42*1.05</f>
        <v/>
      </c>
      <c r="AE43" s="67">
        <f>$AD43*$AE$3</f>
        <v/>
      </c>
      <c r="AF43" s="67">
        <f>$AD43*$AF$3</f>
        <v/>
      </c>
      <c r="AG43" s="67">
        <f>AE43-AF43</f>
        <v/>
      </c>
      <c r="AH43" s="67">
        <f>$AD43*$AH$3</f>
        <v/>
      </c>
      <c r="AI43" s="67">
        <f>$AD43*$AI$41</f>
        <v/>
      </c>
      <c r="AJ43" s="67">
        <f>$V$36</f>
        <v/>
      </c>
      <c r="AK43" s="67">
        <f>(312.24*12)+6000+AH43+AI43+$V$36</f>
        <v/>
      </c>
      <c r="AL43" s="119">
        <f>AG43-AK43</f>
        <v/>
      </c>
      <c r="AM43" s="1" t="n"/>
      <c r="AW43" s="1" t="n"/>
    </row>
    <row r="44" ht="20.25" customHeight="1">
      <c r="A44" s="1" t="n"/>
      <c r="B44" s="2">
        <f>B43+1</f>
        <v/>
      </c>
      <c r="C44" s="86" t="inlineStr">
        <is>
          <t>ค่าใช้จ่ายในการขายและบริหาร</t>
        </is>
      </c>
      <c r="D44" s="170" t="n">
        <v>0</v>
      </c>
      <c r="E44" s="170">
        <f>-$E$30*$S$44/1000</f>
        <v/>
      </c>
      <c r="F44" s="170">
        <f>-$F$30*$S$44/1000</f>
        <v/>
      </c>
      <c r="G44" s="170">
        <f>-$G$30*$S$44/1000</f>
        <v/>
      </c>
      <c r="H44" s="170">
        <f>-$H$30*$S$44/1000</f>
        <v/>
      </c>
      <c r="I44" s="170">
        <f>-$I$30*$S$44/1000</f>
        <v/>
      </c>
      <c r="J44" s="170">
        <f>-$J$30*$S$44/1000</f>
        <v/>
      </c>
      <c r="K44" s="170">
        <f>-$K$30*$S$44/1000</f>
        <v/>
      </c>
      <c r="L44" s="170">
        <f>-$L$30*$S$44/1000</f>
        <v/>
      </c>
      <c r="M44" s="170">
        <f>-$M$30*$S$44/1000</f>
        <v/>
      </c>
      <c r="N44" s="170">
        <f>-$N$30*$S$44/1000</f>
        <v/>
      </c>
      <c r="O44" s="168">
        <f>AVERAGE(D44:N44)</f>
        <v/>
      </c>
      <c r="P44" s="168">
        <f>SUM(E44:N44)</f>
        <v/>
      </c>
      <c r="Q44" s="1" t="n"/>
      <c r="R44" s="4" t="n"/>
      <c r="S44" s="14" t="n">
        <v>1</v>
      </c>
      <c r="T44" s="169" t="n"/>
      <c r="U44" s="169" t="n"/>
      <c r="V44" s="2" t="n"/>
      <c r="W44" s="1" t="n"/>
      <c r="X44" s="1" t="n"/>
      <c r="Y44" s="1" t="n"/>
      <c r="Z44" s="1" t="n"/>
      <c r="AA44" s="1" t="n"/>
      <c r="AB44" s="1" t="n"/>
      <c r="AC44" s="118" t="n">
        <v>3</v>
      </c>
      <c r="AD44" s="67">
        <f>AD43*1.05</f>
        <v/>
      </c>
      <c r="AE44" s="67">
        <f>$AD44*$AE$3</f>
        <v/>
      </c>
      <c r="AF44" s="67">
        <f>$AD44*$AF$3</f>
        <v/>
      </c>
      <c r="AG44" s="67">
        <f>AE44-AF44</f>
        <v/>
      </c>
      <c r="AH44" s="67">
        <f>$AD44*$AH$3</f>
        <v/>
      </c>
      <c r="AI44" s="67">
        <f>$AD44*$AI$41</f>
        <v/>
      </c>
      <c r="AJ44" s="67">
        <f>$V$36</f>
        <v/>
      </c>
      <c r="AK44" s="67">
        <f>(312.24*12)+6000+AH44+AI44+$V$36</f>
        <v/>
      </c>
      <c r="AL44" s="119">
        <f>AG44-AK44</f>
        <v/>
      </c>
      <c r="AM44" s="1" t="n"/>
      <c r="AW44" s="1" t="n"/>
    </row>
    <row r="45" ht="20.25" customHeight="1">
      <c r="A45" s="1" t="n"/>
      <c r="B45" s="2">
        <f>B44+1</f>
        <v/>
      </c>
      <c r="C45" s="92" t="inlineStr">
        <is>
          <t>Operation Profit</t>
        </is>
      </c>
      <c r="D45" s="171" t="n"/>
      <c r="E45" s="171">
        <f>E43+E44</f>
        <v/>
      </c>
      <c r="F45" s="171">
        <f>F43+F44</f>
        <v/>
      </c>
      <c r="G45" s="171">
        <f>G43+G44</f>
        <v/>
      </c>
      <c r="H45" s="171">
        <f>H43+H44</f>
        <v/>
      </c>
      <c r="I45" s="171">
        <f>I43+I44</f>
        <v/>
      </c>
      <c r="J45" s="172">
        <f>J43+J44</f>
        <v/>
      </c>
      <c r="K45" s="172">
        <f>K43+K44</f>
        <v/>
      </c>
      <c r="L45" s="172">
        <f>L43+L44</f>
        <v/>
      </c>
      <c r="M45" s="172">
        <f>M43+M44</f>
        <v/>
      </c>
      <c r="N45" s="172">
        <f>N43+N44</f>
        <v/>
      </c>
      <c r="O45" s="168">
        <f>AVERAGE(D45:N45)</f>
        <v/>
      </c>
      <c r="P45" s="168">
        <f>SUM(E45:N45)</f>
        <v/>
      </c>
      <c r="Q45" s="1" t="n"/>
      <c r="R45" s="4" t="n"/>
      <c r="S45" s="1" t="n"/>
      <c r="T45" s="169" t="n"/>
      <c r="U45" s="63">
        <f>1-(-1*(AVERAGE(F42:N42)+AVERAGE(F44:N44)))/AVERAGE(F41:N41)</f>
        <v/>
      </c>
      <c r="V45" s="2" t="inlineStr">
        <is>
          <t>OP</t>
        </is>
      </c>
      <c r="W45" s="173" t="n"/>
      <c r="X45" s="1" t="n"/>
      <c r="Y45" s="1" t="n"/>
      <c r="Z45" s="1" t="n"/>
      <c r="AA45" s="1" t="n"/>
      <c r="AB45" s="1" t="n"/>
      <c r="AC45" s="118" t="n">
        <v>4</v>
      </c>
      <c r="AD45" s="67">
        <f>AD44*1.05</f>
        <v/>
      </c>
      <c r="AE45" s="67">
        <f>$AD45*$AE$3</f>
        <v/>
      </c>
      <c r="AF45" s="67">
        <f>$AD45*$AF$3</f>
        <v/>
      </c>
      <c r="AG45" s="67">
        <f>AE45-AF45</f>
        <v/>
      </c>
      <c r="AH45" s="67">
        <f>$AD45*$AH$3</f>
        <v/>
      </c>
      <c r="AI45" s="67">
        <f>$AD45*$AI$41</f>
        <v/>
      </c>
      <c r="AJ45" s="67">
        <f>$V$36</f>
        <v/>
      </c>
      <c r="AK45" s="67">
        <f>(312.24*12)+6000+AH45+AI45+$V$36</f>
        <v/>
      </c>
      <c r="AL45" s="119">
        <f>AG45-AK45</f>
        <v/>
      </c>
      <c r="AM45" s="1" t="n"/>
      <c r="AW45" s="1" t="n"/>
    </row>
    <row r="46" ht="20.25" customHeight="1">
      <c r="A46" s="1" t="n"/>
      <c r="B46" s="2">
        <f>B45+1</f>
        <v/>
      </c>
      <c r="C46" s="86" t="inlineStr">
        <is>
          <t>ค่าเสื่อมราคา</t>
        </is>
      </c>
      <c r="D46" s="170" t="n">
        <v>0</v>
      </c>
      <c r="E46" s="170">
        <f>-$D$29/($D$33*1000)</f>
        <v/>
      </c>
      <c r="F46" s="170">
        <f>-$D$29/($D$33*1000)</f>
        <v/>
      </c>
      <c r="G46" s="170">
        <f>-$D$29/($D$33*1000)</f>
        <v/>
      </c>
      <c r="H46" s="170">
        <f>-$D$29/($D$33*1000)</f>
        <v/>
      </c>
      <c r="I46" s="170">
        <f>-$D$29/($D$33*1000)</f>
        <v/>
      </c>
      <c r="J46" s="170">
        <f>-$D$29/($D$33*1000)</f>
        <v/>
      </c>
      <c r="K46" s="170">
        <f>-$D$29/($D$33*1000)</f>
        <v/>
      </c>
      <c r="L46" s="170">
        <f>-$D$29/($D$33*1000)</f>
        <v/>
      </c>
      <c r="M46" s="170">
        <f>-$D$29/($D$33*1000)</f>
        <v/>
      </c>
      <c r="N46" s="170">
        <f>-$D$29/($D$33*1000)</f>
        <v/>
      </c>
      <c r="O46" s="168">
        <f>AVERAGE(D46:N46)</f>
        <v/>
      </c>
      <c r="P46" s="168">
        <f>SUM(E46:N46)</f>
        <v/>
      </c>
      <c r="Q46" s="1" t="n"/>
      <c r="R46" s="4" t="n"/>
      <c r="S46" s="1" t="n"/>
      <c r="T46" s="1" t="n"/>
      <c r="U46" s="1" t="n"/>
      <c r="V46" s="2" t="n"/>
      <c r="W46" s="1" t="n"/>
      <c r="X46" s="1" t="n"/>
      <c r="Y46" s="1" t="n"/>
      <c r="Z46" s="1" t="n"/>
      <c r="AA46" s="1" t="n"/>
      <c r="AB46" s="1" t="n"/>
      <c r="AC46" s="118" t="n">
        <v>5</v>
      </c>
      <c r="AD46" s="67">
        <f>AD45*1.05</f>
        <v/>
      </c>
      <c r="AE46" s="67">
        <f>$AD46*$AE$3</f>
        <v/>
      </c>
      <c r="AF46" s="67">
        <f>$AD46*$AF$3</f>
        <v/>
      </c>
      <c r="AG46" s="67">
        <f>AE46-AF46</f>
        <v/>
      </c>
      <c r="AH46" s="67">
        <f>$AD46*$AH$3</f>
        <v/>
      </c>
      <c r="AI46" s="67">
        <f>$AD46*$AI$41</f>
        <v/>
      </c>
      <c r="AJ46" s="67">
        <f>$V$36</f>
        <v/>
      </c>
      <c r="AK46" s="67">
        <f>(312.24*12)+6000+AH46+AI46+$V$36</f>
        <v/>
      </c>
      <c r="AL46" s="119">
        <f>AG46-AK46</f>
        <v/>
      </c>
      <c r="AM46" s="1" t="n"/>
      <c r="AW46" s="1" t="n"/>
    </row>
    <row r="47" ht="20.25" customHeight="1">
      <c r="A47" s="1" t="n"/>
      <c r="B47" s="2">
        <f>B46+1</f>
        <v/>
      </c>
      <c r="C47" s="97" t="inlineStr">
        <is>
          <t>EBIT</t>
        </is>
      </c>
      <c r="D47" s="171">
        <f>SUM(D43:D46)</f>
        <v/>
      </c>
      <c r="E47" s="171">
        <f>SUM(E45:E46)</f>
        <v/>
      </c>
      <c r="F47" s="171">
        <f>SUM(F45:F46)</f>
        <v/>
      </c>
      <c r="G47" s="171">
        <f>SUM(G45:G46)</f>
        <v/>
      </c>
      <c r="H47" s="171">
        <f>SUM(H45:H46)</f>
        <v/>
      </c>
      <c r="I47" s="171">
        <f>SUM(I45:I46)</f>
        <v/>
      </c>
      <c r="J47" s="172">
        <f>SUM(J45:J46)</f>
        <v/>
      </c>
      <c r="K47" s="172">
        <f>SUM(K45:K46)</f>
        <v/>
      </c>
      <c r="L47" s="172">
        <f>SUM(L45:L46)</f>
        <v/>
      </c>
      <c r="M47" s="172">
        <f>SUM(M45:M46)</f>
        <v/>
      </c>
      <c r="N47" s="172">
        <f>SUM(N45:N46)</f>
        <v/>
      </c>
      <c r="O47" s="168">
        <f>AVERAGE(D47:N47)</f>
        <v/>
      </c>
      <c r="P47" s="168">
        <f>SUM(E47:N47)</f>
        <v/>
      </c>
      <c r="Q47" s="1" t="n"/>
      <c r="R47" s="4" t="n"/>
      <c r="S47" s="1" t="n"/>
      <c r="T47" s="169" t="n"/>
      <c r="U47" s="169" t="n"/>
      <c r="V47" s="2" t="inlineStr">
        <is>
          <t xml:space="preserve"> </t>
        </is>
      </c>
      <c r="W47" s="173" t="n"/>
      <c r="X47" s="1" t="n"/>
      <c r="Y47" s="1" t="n"/>
      <c r="Z47" s="1" t="n"/>
      <c r="AA47" s="1" t="n"/>
      <c r="AB47" s="1" t="n"/>
      <c r="AC47" s="118" t="n">
        <v>6</v>
      </c>
      <c r="AD47" s="67">
        <f>AD46*1.05</f>
        <v/>
      </c>
      <c r="AE47" s="67">
        <f>$AD47*$AE$3</f>
        <v/>
      </c>
      <c r="AF47" s="67">
        <f>$AD47*$AF$3</f>
        <v/>
      </c>
      <c r="AG47" s="67">
        <f>AE47-AF47</f>
        <v/>
      </c>
      <c r="AH47" s="67">
        <f>$AD47*$AH$3</f>
        <v/>
      </c>
      <c r="AI47" s="67">
        <f>$AD47*$AI$41</f>
        <v/>
      </c>
      <c r="AJ47" s="67" t="n">
        <v>0</v>
      </c>
      <c r="AK47" s="67">
        <f>(312.24*12)+6000+AH47+AI47</f>
        <v/>
      </c>
      <c r="AL47" s="119">
        <f>AG47-AK47</f>
        <v/>
      </c>
      <c r="AM47" s="1" t="n"/>
      <c r="AW47" s="1" t="n"/>
    </row>
    <row r="48" ht="20.25" customHeight="1">
      <c r="A48" s="1" t="n"/>
      <c r="B48" s="2">
        <f>B47+1</f>
        <v/>
      </c>
      <c r="C48" s="86" t="inlineStr">
        <is>
          <t>ภาษีเงินได้</t>
        </is>
      </c>
      <c r="D48" s="170">
        <f>IF(D47&lt;0,0,-$D$35*D47)</f>
        <v/>
      </c>
      <c r="E48" s="170">
        <f>IF(E47&lt;0,0,-$D$35*E47)</f>
        <v/>
      </c>
      <c r="F48" s="170">
        <f>IF(F47&lt;0,0,-$D$35*F47)</f>
        <v/>
      </c>
      <c r="G48" s="170">
        <f>IF(G47&lt;0,0,-$D$35*G47)</f>
        <v/>
      </c>
      <c r="H48" s="170">
        <f>IF(H47&lt;0,0,-$D$35*H47)</f>
        <v/>
      </c>
      <c r="I48" s="170">
        <f>IF(I47&lt;0,0,-$D$35*I47)</f>
        <v/>
      </c>
      <c r="J48" s="170">
        <f>IF(J47&lt;0,0,-$D$35*J47)</f>
        <v/>
      </c>
      <c r="K48" s="170">
        <f>IF(K47&lt;0,0,-$D$35*K47)</f>
        <v/>
      </c>
      <c r="L48" s="170">
        <f>IF(L47&lt;0,0,-$D$35*L47)</f>
        <v/>
      </c>
      <c r="M48" s="170">
        <f>IF(M47&lt;0,0,-$D$35*M47)</f>
        <v/>
      </c>
      <c r="N48" s="170">
        <f>IF(N47&lt;0,0,-$D$35*N47)</f>
        <v/>
      </c>
      <c r="O48" s="168">
        <f>AVERAGE(D48:N48)</f>
        <v/>
      </c>
      <c r="P48" s="168">
        <f>SUM(E48:N48)</f>
        <v/>
      </c>
      <c r="Q48" s="1" t="n"/>
      <c r="R48" s="4" t="n"/>
      <c r="S48" s="2" t="n"/>
      <c r="T48" s="169" t="n"/>
      <c r="U48" s="1" t="n"/>
      <c r="V48" s="2" t="n"/>
      <c r="W48" s="1" t="n"/>
      <c r="X48" s="1" t="n"/>
      <c r="Y48" s="1" t="n"/>
      <c r="Z48" s="1" t="n"/>
      <c r="AA48" s="1" t="n"/>
      <c r="AB48" s="1" t="n"/>
      <c r="AC48" s="118" t="n">
        <v>7</v>
      </c>
      <c r="AD48" s="67">
        <f>AD47*1.05</f>
        <v/>
      </c>
      <c r="AE48" s="67">
        <f>$AD48*$AE$3</f>
        <v/>
      </c>
      <c r="AF48" s="67">
        <f>$AD48*$AF$3</f>
        <v/>
      </c>
      <c r="AG48" s="67">
        <f>AE48-AF48</f>
        <v/>
      </c>
      <c r="AH48" s="67">
        <f>$AD48*$AH$3</f>
        <v/>
      </c>
      <c r="AI48" s="67">
        <f>$AD48*$AI$41</f>
        <v/>
      </c>
      <c r="AJ48" s="67" t="n">
        <v>0</v>
      </c>
      <c r="AK48" s="67">
        <f>(312.24*12)+6000+AH48+AI48</f>
        <v/>
      </c>
      <c r="AL48" s="119">
        <f>AG48-AK48</f>
        <v/>
      </c>
      <c r="AM48" s="1" t="n"/>
      <c r="AW48" s="1" t="n"/>
    </row>
    <row r="49" ht="20.25" customHeight="1">
      <c r="A49" s="1" t="n"/>
      <c r="B49" s="2">
        <f>B48+1</f>
        <v/>
      </c>
      <c r="C49" s="89" t="inlineStr">
        <is>
          <t>Unlevered Net Income</t>
        </is>
      </c>
      <c r="D49" s="170">
        <f>SUM(D47:D48)</f>
        <v/>
      </c>
      <c r="E49" s="170">
        <f>SUM(E47:E48)</f>
        <v/>
      </c>
      <c r="F49" s="170">
        <f>SUM(F47:F48)</f>
        <v/>
      </c>
      <c r="G49" s="170">
        <f>SUM(G47:G48)</f>
        <v/>
      </c>
      <c r="H49" s="170">
        <f>SUM(H47:H48)</f>
        <v/>
      </c>
      <c r="I49" s="170">
        <f>SUM(I47:I48)</f>
        <v/>
      </c>
      <c r="J49" s="170">
        <f>SUM(J47:J48)</f>
        <v/>
      </c>
      <c r="K49" s="170">
        <f>SUM(K47:K48)</f>
        <v/>
      </c>
      <c r="L49" s="170">
        <f>SUM(L47:L48)</f>
        <v/>
      </c>
      <c r="M49" s="170">
        <f>SUM(M47:M48)</f>
        <v/>
      </c>
      <c r="N49" s="170">
        <f>SUM(N47:N48)</f>
        <v/>
      </c>
      <c r="O49" s="168">
        <f>AVERAGE(D49:N49)</f>
        <v/>
      </c>
      <c r="P49" s="168">
        <f>SUM(E49:N49)</f>
        <v/>
      </c>
      <c r="Q49" s="1" t="n"/>
      <c r="R49" s="4" t="n"/>
      <c r="S49" s="1" t="n"/>
      <c r="T49" s="1" t="n"/>
      <c r="U49" s="1" t="n"/>
      <c r="V49" s="2" t="n"/>
      <c r="W49" s="1" t="n"/>
      <c r="X49" s="1" t="n"/>
      <c r="Y49" s="1" t="n"/>
      <c r="Z49" s="1" t="n"/>
      <c r="AA49" s="1" t="n"/>
      <c r="AB49" s="1" t="n"/>
      <c r="AC49" s="118" t="n">
        <v>8</v>
      </c>
      <c r="AD49" s="67">
        <f>AD48*1.05</f>
        <v/>
      </c>
      <c r="AE49" s="67">
        <f>$AD49*$AE$3</f>
        <v/>
      </c>
      <c r="AF49" s="67">
        <f>$AD49*$AF$3</f>
        <v/>
      </c>
      <c r="AG49" s="67">
        <f>AE49-AF49</f>
        <v/>
      </c>
      <c r="AH49" s="67">
        <f>$AD49*$AH$3</f>
        <v/>
      </c>
      <c r="AI49" s="67">
        <f>$AD49*$AI$41</f>
        <v/>
      </c>
      <c r="AJ49" s="67" t="n">
        <v>0</v>
      </c>
      <c r="AK49" s="67">
        <f>(312.24*12)+6000+AH49+AI49</f>
        <v/>
      </c>
      <c r="AL49" s="119">
        <f>AG49-AK49</f>
        <v/>
      </c>
      <c r="AM49" s="1" t="n"/>
      <c r="AW49" s="1" t="n"/>
    </row>
    <row r="50" ht="20.25" customHeight="1">
      <c r="A50" s="1" t="n"/>
      <c r="B50" s="2">
        <f>B49+1</f>
        <v/>
      </c>
      <c r="C50" s="86" t="inlineStr">
        <is>
          <t>บวก : ค่าเสื่อมราคา</t>
        </is>
      </c>
      <c r="D50" s="170">
        <f>-D46</f>
        <v/>
      </c>
      <c r="E50" s="170">
        <f>-E46</f>
        <v/>
      </c>
      <c r="F50" s="170">
        <f>-F46</f>
        <v/>
      </c>
      <c r="G50" s="170">
        <f>-G46</f>
        <v/>
      </c>
      <c r="H50" s="170">
        <f>-H46</f>
        <v/>
      </c>
      <c r="I50" s="170">
        <f>-I46</f>
        <v/>
      </c>
      <c r="J50" s="170">
        <f>-J46</f>
        <v/>
      </c>
      <c r="K50" s="170">
        <f>-K46</f>
        <v/>
      </c>
      <c r="L50" s="170">
        <f>-L46</f>
        <v/>
      </c>
      <c r="M50" s="170">
        <f>-M46</f>
        <v/>
      </c>
      <c r="N50" s="170">
        <f>-N46</f>
        <v/>
      </c>
      <c r="O50" s="170" t="n"/>
      <c r="P50" s="170" t="n"/>
      <c r="Q50" s="1" t="n"/>
      <c r="R50" s="4" t="n"/>
      <c r="S50" s="1" t="n"/>
      <c r="T50" s="1" t="n"/>
      <c r="U50" s="1" t="n"/>
      <c r="V50" s="2" t="n"/>
      <c r="W50" s="1" t="n"/>
      <c r="X50" s="1" t="n"/>
      <c r="Y50" s="1" t="n"/>
      <c r="Z50" s="1" t="n"/>
      <c r="AA50" s="1" t="n"/>
      <c r="AB50" s="1" t="n"/>
      <c r="AC50" s="118" t="n">
        <v>9</v>
      </c>
      <c r="AD50" s="67">
        <f>AD49*1.05</f>
        <v/>
      </c>
      <c r="AE50" s="67">
        <f>$AD50*$AE$3</f>
        <v/>
      </c>
      <c r="AF50" s="67">
        <f>$AD50*$AF$3</f>
        <v/>
      </c>
      <c r="AG50" s="67">
        <f>AE50-AF50</f>
        <v/>
      </c>
      <c r="AH50" s="67">
        <f>$AD50*$AH$3</f>
        <v/>
      </c>
      <c r="AI50" s="67">
        <f>$AD50*$AI$41</f>
        <v/>
      </c>
      <c r="AJ50" s="67" t="n">
        <v>0</v>
      </c>
      <c r="AK50" s="67">
        <f>(312.24*12)+6000+AH50+AI50</f>
        <v/>
      </c>
      <c r="AL50" s="119">
        <f>AG50-AK50</f>
        <v/>
      </c>
      <c r="AM50" s="1" t="n"/>
      <c r="AW50" s="1" t="n"/>
    </row>
    <row r="51" ht="20.25" customHeight="1">
      <c r="A51" s="1" t="n"/>
      <c r="B51" s="2">
        <f>B50+1</f>
        <v/>
      </c>
      <c r="C51" s="86" t="inlineStr">
        <is>
          <t>ลบ : เงินลงทุนในสินทรัพย์ถาวร</t>
        </is>
      </c>
      <c r="D51" s="170">
        <f>-D29*$S$29/1000</f>
        <v/>
      </c>
      <c r="E51" s="170" t="n">
        <v>0</v>
      </c>
      <c r="F51" s="170" t="n">
        <v>0</v>
      </c>
      <c r="G51" s="170" t="n">
        <v>0</v>
      </c>
      <c r="H51" s="170" t="n">
        <v>0</v>
      </c>
      <c r="I51" s="170" t="n">
        <v>0</v>
      </c>
      <c r="J51" s="170" t="n">
        <v>0</v>
      </c>
      <c r="K51" s="170" t="n">
        <v>0</v>
      </c>
      <c r="L51" s="170" t="n">
        <v>0</v>
      </c>
      <c r="M51" s="170" t="n">
        <v>0</v>
      </c>
      <c r="N51" s="170" t="n">
        <v>0</v>
      </c>
      <c r="O51" s="170" t="n"/>
      <c r="P51" s="170" t="n"/>
      <c r="Q51" s="1" t="n"/>
      <c r="R51" s="4" t="n"/>
      <c r="S51" s="1" t="n"/>
      <c r="T51" s="1" t="n"/>
      <c r="U51" s="1" t="n"/>
      <c r="V51" s="2" t="n"/>
      <c r="W51" s="1" t="n"/>
      <c r="X51" s="1" t="n"/>
      <c r="Y51" s="1" t="n"/>
      <c r="Z51" s="1" t="n"/>
      <c r="AA51" s="1" t="n"/>
      <c r="AB51" s="1" t="n"/>
      <c r="AC51" s="118" t="n">
        <v>10</v>
      </c>
      <c r="AD51" s="67">
        <f>AD50*1.05</f>
        <v/>
      </c>
      <c r="AE51" s="67">
        <f>$AD51*$AE$3</f>
        <v/>
      </c>
      <c r="AF51" s="67">
        <f>$AD51*$AF$3</f>
        <v/>
      </c>
      <c r="AG51" s="67">
        <f>AE51-AF51</f>
        <v/>
      </c>
      <c r="AH51" s="67">
        <f>$AD51*$AH$3</f>
        <v/>
      </c>
      <c r="AI51" s="67">
        <f>$AD51*$AI$41</f>
        <v/>
      </c>
      <c r="AJ51" s="67" t="n">
        <v>0</v>
      </c>
      <c r="AK51" s="67">
        <f>(312.24*12)+6000+AH51+AI51</f>
        <v/>
      </c>
      <c r="AL51" s="119">
        <f>AG51-AK51</f>
        <v/>
      </c>
      <c r="AM51" s="1" t="n"/>
      <c r="AW51" s="1" t="n"/>
    </row>
    <row r="52" ht="20.25" customHeight="1" thickBot="1">
      <c r="A52" s="1" t="n"/>
      <c r="B52" s="2">
        <f>B51+1</f>
        <v/>
      </c>
      <c r="C52" s="86" t="inlineStr">
        <is>
          <t>ลบ : เงินทุนหมุนเวียนสุทธิส่วนเพิ่ม</t>
        </is>
      </c>
      <c r="D52" s="170">
        <f>-D63</f>
        <v/>
      </c>
      <c r="E52" s="170">
        <f>-E63</f>
        <v/>
      </c>
      <c r="F52" s="170">
        <f>-F63</f>
        <v/>
      </c>
      <c r="G52" s="170">
        <f>-G63</f>
        <v/>
      </c>
      <c r="H52" s="170">
        <f>-H63</f>
        <v/>
      </c>
      <c r="I52" s="170">
        <f>-SUM(F52:H52)</f>
        <v/>
      </c>
      <c r="J52" s="170">
        <f>-SUM(F52:I52)</f>
        <v/>
      </c>
      <c r="K52" s="170">
        <f>-SUM(G52:J52)</f>
        <v/>
      </c>
      <c r="L52" s="170">
        <f>-SUM(H52:K52)</f>
        <v/>
      </c>
      <c r="M52" s="170">
        <f>-SUM(I52:L52)</f>
        <v/>
      </c>
      <c r="N52" s="170">
        <f>-SUM(J52:M52)</f>
        <v/>
      </c>
      <c r="O52" s="170" t="n"/>
      <c r="P52" s="170" t="n"/>
      <c r="Q52" s="1" t="n"/>
      <c r="R52" s="4" t="n"/>
      <c r="S52" s="1" t="n"/>
      <c r="T52" s="1" t="n"/>
      <c r="U52" s="1" t="n"/>
      <c r="V52" s="2" t="n"/>
      <c r="W52" s="1" t="n"/>
      <c r="X52" s="1" t="n"/>
      <c r="Y52" s="1" t="n"/>
      <c r="Z52" s="1" t="n"/>
      <c r="AA52" s="1" t="n"/>
      <c r="AB52" s="1" t="n"/>
      <c r="AC52" s="120" t="inlineStr">
        <is>
          <t>รวม</t>
        </is>
      </c>
      <c r="AD52" s="121">
        <f>SUM(AD42:AD51)</f>
        <v/>
      </c>
      <c r="AE52" s="121">
        <f>SUM(AE42:AE51)</f>
        <v/>
      </c>
      <c r="AF52" s="121">
        <f>SUM(AF42:AF51)</f>
        <v/>
      </c>
      <c r="AG52" s="121">
        <f>SUM(AG42:AG51)</f>
        <v/>
      </c>
      <c r="AH52" s="121">
        <f>SUM(AH42:AH51)</f>
        <v/>
      </c>
      <c r="AI52" s="121">
        <f>SUM(AI42:AI51)</f>
        <v/>
      </c>
      <c r="AJ52" s="121" t="n"/>
      <c r="AK52" s="121">
        <f>SUM(AK42:AK51)</f>
        <v/>
      </c>
      <c r="AL52" s="122" t="n"/>
      <c r="AM52" s="1" t="n"/>
      <c r="AW52" s="1" t="n"/>
    </row>
    <row r="53" ht="20.25" customHeight="1">
      <c r="A53" s="1" t="n"/>
      <c r="B53" s="2">
        <f>B52+1</f>
        <v/>
      </c>
      <c r="C53" s="86" t="inlineStr">
        <is>
          <t>บวก : มูลค่าคงเหลือของสินทรัพย์ถาวร</t>
        </is>
      </c>
      <c r="D53" s="170" t="n">
        <v>0</v>
      </c>
      <c r="E53" s="170" t="n">
        <v>0</v>
      </c>
      <c r="F53" s="170" t="n">
        <v>0</v>
      </c>
      <c r="G53" s="170" t="n">
        <v>0</v>
      </c>
      <c r="H53" s="170" t="n">
        <v>0</v>
      </c>
      <c r="I53" s="174" t="n">
        <v>0</v>
      </c>
      <c r="J53" s="174" t="n">
        <v>0</v>
      </c>
      <c r="K53" s="174" t="n">
        <v>0</v>
      </c>
      <c r="L53" s="174" t="n">
        <v>0</v>
      </c>
      <c r="M53" s="174" t="n">
        <v>0</v>
      </c>
      <c r="N53" s="174" t="n">
        <v>0</v>
      </c>
      <c r="O53" s="170" t="n"/>
      <c r="P53" s="170" t="n"/>
      <c r="Q53" s="1" t="n"/>
      <c r="R53" s="4" t="n"/>
      <c r="S53" s="1" t="n"/>
      <c r="T53" s="1" t="n"/>
      <c r="U53" s="1" t="n"/>
      <c r="V53" s="2" t="n"/>
      <c r="W53" s="1" t="n"/>
      <c r="X53" s="1" t="n"/>
      <c r="Y53" s="1" t="n"/>
      <c r="Z53" s="1" t="n"/>
      <c r="AA53" s="1" t="n"/>
      <c r="AB53" s="1" t="n"/>
      <c r="AC53" s="113" t="n"/>
      <c r="AD53" s="114" t="n"/>
      <c r="AE53" s="114" t="n"/>
      <c r="AF53" s="115" t="n"/>
      <c r="AG53" s="115" t="inlineStr">
        <is>
          <t xml:space="preserve">เฉลี่ย 10 ปี ปีละ </t>
        </is>
      </c>
      <c r="AH53" s="157">
        <f>AH52/10</f>
        <v/>
      </c>
      <c r="AI53" s="157">
        <f>AI52/10</f>
        <v/>
      </c>
      <c r="AJ53" s="115" t="n"/>
      <c r="AK53" s="115" t="n"/>
      <c r="AL53" s="126">
        <f>SUM(AL42:AL51)</f>
        <v/>
      </c>
      <c r="AM53" s="1" t="n"/>
      <c r="AW53" s="1" t="n"/>
    </row>
    <row r="54" ht="20.25" customHeight="1">
      <c r="A54" s="1" t="n"/>
      <c r="B54" s="2">
        <f>B53+1</f>
        <v/>
      </c>
      <c r="C54" s="84" t="inlineStr">
        <is>
          <t>Free Cash Flow</t>
        </is>
      </c>
      <c r="D54" s="170">
        <f>SUM(D49:D53)</f>
        <v/>
      </c>
      <c r="E54" s="170">
        <f>SUM(E49:E53)</f>
        <v/>
      </c>
      <c r="F54" s="170">
        <f>SUM(F49:F53)</f>
        <v/>
      </c>
      <c r="G54" s="170">
        <f>SUM(G49:G53)</f>
        <v/>
      </c>
      <c r="H54" s="170">
        <f>SUM(H49:H53)</f>
        <v/>
      </c>
      <c r="I54" s="170">
        <f>SUM(I49:I53)</f>
        <v/>
      </c>
      <c r="J54" s="170">
        <f>SUM(J49:J53)</f>
        <v/>
      </c>
      <c r="K54" s="170">
        <f>SUM(K49:K53)</f>
        <v/>
      </c>
      <c r="L54" s="170">
        <f>SUM(L49:L53)</f>
        <v/>
      </c>
      <c r="M54" s="170">
        <f>SUM(M49:M53)</f>
        <v/>
      </c>
      <c r="N54" s="170">
        <f>SUM(N49:N53)</f>
        <v/>
      </c>
      <c r="O54" s="170" t="n"/>
      <c r="P54" s="170" t="n"/>
      <c r="Q54" s="1" t="n"/>
      <c r="R54" s="4" t="n"/>
      <c r="S54" s="1" t="n"/>
      <c r="T54" s="1" t="n"/>
      <c r="U54" s="1" t="n"/>
      <c r="V54" s="2" t="n"/>
      <c r="W54" s="1" t="n"/>
      <c r="X54" s="1" t="n"/>
      <c r="Y54" s="1" t="n"/>
      <c r="Z54" s="1" t="n"/>
      <c r="AA54" s="1" t="n"/>
      <c r="AB54" s="1" t="n"/>
      <c r="AF54" s="68" t="n"/>
      <c r="AG54" s="68" t="inlineStr">
        <is>
          <t xml:space="preserve">เดือนละ </t>
        </is>
      </c>
      <c r="AH54" s="158">
        <f>AH53/12</f>
        <v/>
      </c>
      <c r="AI54" s="158">
        <f>AI53/12</f>
        <v/>
      </c>
      <c r="AJ54" s="68" t="n"/>
      <c r="AK54" s="68" t="n"/>
      <c r="AM54" s="1" t="n"/>
      <c r="AW54" s="1" t="n"/>
    </row>
    <row r="55" ht="20.25" customHeight="1">
      <c r="A55" s="1" t="n"/>
      <c r="B55" s="2" t="n"/>
      <c r="C55" s="24" t="n"/>
      <c r="D55" s="1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" t="n"/>
      <c r="R55" s="4" t="n"/>
      <c r="S55" s="1" t="n"/>
      <c r="T55" s="1" t="n"/>
      <c r="U55" s="1" t="n"/>
      <c r="V55" s="2" t="n"/>
      <c r="W55" s="1" t="n"/>
      <c r="X55" s="1" t="n"/>
      <c r="Y55" s="1" t="n"/>
      <c r="Z55" s="1" t="n"/>
      <c r="AA55" s="1" t="n"/>
      <c r="AB55" s="1" t="n"/>
      <c r="AF55" s="68" t="n"/>
      <c r="AG55" s="68" t="inlineStr">
        <is>
          <t>เทียบค่าเช่าต่อช่อง</t>
        </is>
      </c>
      <c r="AH55" s="159">
        <f>AH54/6</f>
        <v/>
      </c>
      <c r="AJ55" s="68" t="n"/>
      <c r="AK55" s="68" t="n"/>
      <c r="AM55" s="1" t="n"/>
      <c r="AW55" s="1" t="n"/>
    </row>
    <row r="56" ht="20.25" customHeight="1">
      <c r="A56" s="1" t="n"/>
      <c r="B56" s="2" t="n"/>
      <c r="C56" s="24" t="inlineStr">
        <is>
          <t>Cummulative CF</t>
        </is>
      </c>
      <c r="D56" s="169">
        <f>D54</f>
        <v/>
      </c>
      <c r="E56" s="169">
        <f>D56+E54</f>
        <v/>
      </c>
      <c r="F56" s="169">
        <f>E56+F54</f>
        <v/>
      </c>
      <c r="G56" s="169">
        <f>F56+G54</f>
        <v/>
      </c>
      <c r="H56" s="169">
        <f>G56+H54</f>
        <v/>
      </c>
      <c r="I56" s="169">
        <f>H56+I54</f>
        <v/>
      </c>
      <c r="J56" s="169">
        <f>I56+J54</f>
        <v/>
      </c>
      <c r="K56" s="169">
        <f>J56+K54</f>
        <v/>
      </c>
      <c r="L56" s="169">
        <f>K56+L54</f>
        <v/>
      </c>
      <c r="M56" s="169">
        <f>L56+M54</f>
        <v/>
      </c>
      <c r="N56" s="169">
        <f>M56+N54</f>
        <v/>
      </c>
      <c r="O56" s="169" t="n"/>
      <c r="P56" s="169" t="n"/>
      <c r="Q56" s="1" t="n"/>
      <c r="R56" s="4" t="n"/>
      <c r="S56" s="1" t="n"/>
      <c r="T56" s="1" t="n"/>
      <c r="U56" s="1" t="n"/>
      <c r="V56" s="2" t="n"/>
      <c r="W56" s="1" t="n"/>
      <c r="X56" s="1" t="n"/>
      <c r="Y56" s="1" t="n"/>
      <c r="Z56" s="1" t="n"/>
      <c r="AA56" s="1" t="n"/>
      <c r="AB56" s="1" t="n"/>
      <c r="AM56" s="1" t="n"/>
      <c r="AW56" s="1" t="n"/>
    </row>
    <row r="57" ht="20.25" customHeight="1">
      <c r="A57" s="1" t="n"/>
      <c r="B57" s="2" t="n"/>
      <c r="C57" s="24" t="inlineStr">
        <is>
          <t>Count Payback</t>
        </is>
      </c>
      <c r="D57" s="169" t="n"/>
      <c r="E57" s="169">
        <f>IF(E56&lt;0,1,0)</f>
        <v/>
      </c>
      <c r="F57" s="169">
        <f>IF(F56&lt;0,1,0)</f>
        <v/>
      </c>
      <c r="G57" s="169">
        <f>IF(G56&lt;0,1,0)</f>
        <v/>
      </c>
      <c r="H57" s="169">
        <f>IF(H56&lt;0,1,0)</f>
        <v/>
      </c>
      <c r="I57" s="169">
        <f>IF(I56&lt;0,1,0)</f>
        <v/>
      </c>
      <c r="J57" s="169">
        <f>IF(J56&lt;0,1,0)</f>
        <v/>
      </c>
      <c r="K57" s="169">
        <f>IF(K56&lt;0,1,0)</f>
        <v/>
      </c>
      <c r="L57" s="169">
        <f>IF(L56&lt;0,1,0)</f>
        <v/>
      </c>
      <c r="M57" s="169">
        <f>IF(M56&lt;0,1,0)</f>
        <v/>
      </c>
      <c r="N57" s="169">
        <f>IF(N56&lt;0,1,0)</f>
        <v/>
      </c>
      <c r="O57" s="169" t="n"/>
      <c r="P57" s="169" t="n"/>
      <c r="Q57" s="1" t="n"/>
      <c r="R57" s="4" t="n"/>
      <c r="S57" s="1" t="n"/>
      <c r="T57" s="1" t="n"/>
      <c r="U57" s="1" t="n"/>
      <c r="V57" s="2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M57" s="1" t="n"/>
      <c r="AW57" s="1" t="n"/>
    </row>
    <row r="58" ht="20.25" customHeight="1">
      <c r="A58" s="1" t="n"/>
      <c r="B58" s="2" t="n"/>
      <c r="C58" s="24" t="inlineStr">
        <is>
          <t>Return on Investment (ROI)</t>
        </is>
      </c>
      <c r="D58" s="1" t="n"/>
      <c r="E58" s="26">
        <f>E49/-$D$51</f>
        <v/>
      </c>
      <c r="F58" s="26">
        <f>F49/-$D$51</f>
        <v/>
      </c>
      <c r="G58" s="26">
        <f>G49/-$D$51</f>
        <v/>
      </c>
      <c r="H58" s="26">
        <f>H49/-$D$51</f>
        <v/>
      </c>
      <c r="I58" s="26">
        <f>I49/-$D$51</f>
        <v/>
      </c>
      <c r="J58" s="26">
        <f>J49/-$D$51</f>
        <v/>
      </c>
      <c r="K58" s="26">
        <f>K49/-$D$51</f>
        <v/>
      </c>
      <c r="L58" s="26">
        <f>L49/-$D$51</f>
        <v/>
      </c>
      <c r="M58" s="26">
        <f>M49/-$D$51</f>
        <v/>
      </c>
      <c r="N58" s="26">
        <f>N49/-$D$51</f>
        <v/>
      </c>
      <c r="O58" s="26" t="n"/>
      <c r="P58" s="26" t="n"/>
      <c r="Q58" s="1" t="n"/>
      <c r="R58" s="4" t="n"/>
      <c r="S58" s="1" t="n"/>
      <c r="T58" s="1" t="n"/>
      <c r="U58" s="1" t="n"/>
      <c r="V58" s="2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M58" s="1" t="n"/>
      <c r="AW58" s="1" t="n"/>
    </row>
    <row r="59" ht="20.25" customHeight="1">
      <c r="A59" s="1" t="n"/>
      <c r="B59" s="2" t="n"/>
      <c r="C59" s="27" t="n"/>
      <c r="D59" s="1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1" t="n"/>
      <c r="R59" s="4" t="n"/>
      <c r="S59" s="1" t="n"/>
      <c r="T59" s="1" t="n"/>
      <c r="U59" s="1" t="n"/>
      <c r="V59" s="2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M59" s="1" t="n"/>
      <c r="AW59" s="1" t="n"/>
    </row>
    <row r="60" ht="20.25" customHeight="1">
      <c r="A60" s="1" t="n"/>
      <c r="B60" s="2" t="n"/>
      <c r="C60" s="27" t="n"/>
      <c r="D60" s="1" t="n"/>
      <c r="E60" s="1" t="n"/>
      <c r="F60" s="1" t="n"/>
      <c r="G60" s="1" t="n"/>
      <c r="H60" s="1" t="n"/>
      <c r="I60" s="19" t="inlineStr">
        <is>
          <t>หน่วย : พันบาท</t>
        </is>
      </c>
      <c r="J60" s="19" t="inlineStr">
        <is>
          <t>หน่วย : พันบาท</t>
        </is>
      </c>
      <c r="K60" s="19" t="inlineStr">
        <is>
          <t>หน่วย : พันบาท</t>
        </is>
      </c>
      <c r="L60" s="19" t="inlineStr">
        <is>
          <t>หน่วย : พันบาท</t>
        </is>
      </c>
      <c r="M60" s="19" t="inlineStr">
        <is>
          <t>หน่วย : พันบาท</t>
        </is>
      </c>
      <c r="N60" s="19" t="inlineStr">
        <is>
          <t>หน่วย : พันบาท</t>
        </is>
      </c>
      <c r="O60" s="19" t="n"/>
      <c r="P60" s="19" t="n"/>
      <c r="Q60" s="1" t="n"/>
      <c r="R60" s="4" t="n"/>
      <c r="S60" s="1" t="n"/>
      <c r="T60" s="1" t="n"/>
      <c r="U60" s="1" t="n"/>
      <c r="V60" s="2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M60" s="1" t="n"/>
      <c r="AW60" s="1" t="n"/>
    </row>
    <row r="61" ht="20.25" customHeight="1">
      <c r="A61" s="1" t="n"/>
      <c r="B61" s="2" t="n"/>
      <c r="C61" s="20" t="n"/>
      <c r="D61" s="21" t="inlineStr">
        <is>
          <t>ปีที่ 0</t>
        </is>
      </c>
      <c r="E61" s="22" t="inlineStr">
        <is>
          <t>ปีที่ 1</t>
        </is>
      </c>
      <c r="F61" s="21" t="inlineStr">
        <is>
          <t>ปีที่ 2</t>
        </is>
      </c>
      <c r="G61" s="22" t="inlineStr">
        <is>
          <t>ปีที่ 3</t>
        </is>
      </c>
      <c r="H61" s="21" t="inlineStr">
        <is>
          <t>ปีที่ 4</t>
        </is>
      </c>
      <c r="I61" s="21" t="inlineStr">
        <is>
          <t>ปีที่ 5</t>
        </is>
      </c>
      <c r="J61" s="21" t="inlineStr">
        <is>
          <t>ปีที่ 5</t>
        </is>
      </c>
      <c r="K61" s="21" t="inlineStr">
        <is>
          <t>ปีที่ 5</t>
        </is>
      </c>
      <c r="L61" s="21" t="inlineStr">
        <is>
          <t>ปีที่ 5</t>
        </is>
      </c>
      <c r="M61" s="21" t="inlineStr">
        <is>
          <t>ปีที่ 5</t>
        </is>
      </c>
      <c r="N61" s="21" t="inlineStr">
        <is>
          <t>ปีที่ 5</t>
        </is>
      </c>
      <c r="O61" s="95" t="n"/>
      <c r="P61" s="95" t="n"/>
      <c r="Q61" s="1" t="n"/>
      <c r="R61" s="4" t="n"/>
      <c r="S61" s="1" t="n"/>
      <c r="T61" s="1" t="n"/>
      <c r="U61" s="1" t="n"/>
      <c r="V61" s="2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M61" s="1" t="n"/>
      <c r="AW61" s="1" t="n"/>
    </row>
    <row r="62" ht="20.25" customHeight="1">
      <c r="A62" s="1" t="n"/>
      <c r="B62" s="2" t="n">
        <v>14</v>
      </c>
      <c r="C62" s="20" t="inlineStr">
        <is>
          <t>เงินทุนหมุนเวียนสุทธิ</t>
        </is>
      </c>
      <c r="D62" s="175">
        <f>$D$36*D41</f>
        <v/>
      </c>
      <c r="E62" s="176">
        <f>$D$36*E41</f>
        <v/>
      </c>
      <c r="F62" s="175">
        <f>$D$36*F41</f>
        <v/>
      </c>
      <c r="G62" s="176">
        <f>$D$36*G41</f>
        <v/>
      </c>
      <c r="H62" s="175">
        <f>$D$36*H41</f>
        <v/>
      </c>
      <c r="I62" s="175">
        <f>$D$36*I41</f>
        <v/>
      </c>
      <c r="J62" s="175">
        <f>$D$36*J41</f>
        <v/>
      </c>
      <c r="K62" s="175">
        <f>$D$36*K41</f>
        <v/>
      </c>
      <c r="L62" s="175">
        <f>$D$36*L41</f>
        <v/>
      </c>
      <c r="M62" s="175">
        <f>$D$36*M41</f>
        <v/>
      </c>
      <c r="N62" s="175">
        <f>$D$36*N41</f>
        <v/>
      </c>
      <c r="O62" s="177" t="n"/>
      <c r="P62" s="177" t="n"/>
      <c r="Q62" s="1" t="n"/>
      <c r="R62" s="4" t="n"/>
      <c r="S62" s="1" t="n"/>
      <c r="T62" s="1" t="n"/>
      <c r="U62" s="1" t="n"/>
      <c r="V62" s="2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M62" s="1" t="n"/>
      <c r="AW62" s="1" t="n"/>
    </row>
    <row r="63" ht="20.25" customHeight="1">
      <c r="A63" s="1" t="n"/>
      <c r="B63" s="2" t="n">
        <v>15</v>
      </c>
      <c r="C63" s="20" t="inlineStr">
        <is>
          <t>เงินทุนหมุนเวียนสุทธิส่วนเพิ่ม</t>
        </is>
      </c>
      <c r="D63" s="175" t="n">
        <v>0</v>
      </c>
      <c r="E63" s="176">
        <f>E62-D62</f>
        <v/>
      </c>
      <c r="F63" s="175">
        <f>F62-E62</f>
        <v/>
      </c>
      <c r="G63" s="176">
        <f>G62-F62</f>
        <v/>
      </c>
      <c r="H63" s="175">
        <f>H62-G62</f>
        <v/>
      </c>
      <c r="I63" s="175">
        <f>I62-H62</f>
        <v/>
      </c>
      <c r="J63" s="175">
        <f>J62-I62</f>
        <v/>
      </c>
      <c r="K63" s="175">
        <f>K62-J62</f>
        <v/>
      </c>
      <c r="L63" s="175">
        <f>L62-K62</f>
        <v/>
      </c>
      <c r="M63" s="175">
        <f>M62-L62</f>
        <v/>
      </c>
      <c r="N63" s="175">
        <f>N62-M62</f>
        <v/>
      </c>
      <c r="O63" s="177" t="n"/>
      <c r="P63" s="177" t="n"/>
      <c r="Q63" s="1" t="n"/>
      <c r="R63" s="4" t="n"/>
      <c r="S63" s="1" t="n"/>
      <c r="T63" s="1" t="n"/>
      <c r="U63" s="1" t="n"/>
      <c r="V63" s="2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M63" s="1" t="n"/>
      <c r="AW63" s="1" t="n"/>
    </row>
    <row r="64" ht="20.25" customHeight="1">
      <c r="A64" s="1" t="n"/>
      <c r="B64" s="2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4" t="n"/>
      <c r="S64" s="1" t="n"/>
      <c r="T64" s="1" t="n"/>
      <c r="U64" s="1" t="n"/>
      <c r="V64" s="2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M64" s="1" t="n"/>
      <c r="AW64" s="1" t="n"/>
    </row>
    <row r="65" ht="20.25" customHeight="1">
      <c r="A65" s="1" t="n"/>
      <c r="B65" s="2" t="n"/>
      <c r="C65" s="29" t="inlineStr">
        <is>
          <t>Net Present Value =</t>
        </is>
      </c>
      <c r="D65" s="178">
        <f>NPV(D37,E54:N54)+D54</f>
        <v/>
      </c>
      <c r="E65" s="31" t="inlineStr">
        <is>
          <t>พันบาท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4" t="n"/>
      <c r="S65" s="32" t="n"/>
      <c r="T65" s="1" t="n"/>
      <c r="U65" s="1" t="n"/>
      <c r="V65" s="2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M65" s="1" t="n"/>
      <c r="AW65" s="1" t="n"/>
    </row>
    <row r="66" ht="20.25" customHeight="1">
      <c r="A66" s="1" t="n"/>
      <c r="B66" s="2" t="n"/>
      <c r="C66" s="29" t="inlineStr">
        <is>
          <t>Internal Rate of return =</t>
        </is>
      </c>
      <c r="D66" s="33">
        <f>IRR(D54:I54)</f>
        <v/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4" t="n"/>
      <c r="S66" s="32" t="n"/>
      <c r="T66" s="1" t="n"/>
      <c r="U66" s="1" t="n"/>
      <c r="V66" s="2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M66" s="1" t="n"/>
      <c r="AW66" s="1" t="n"/>
    </row>
    <row r="67" ht="20.25" customHeight="1">
      <c r="A67" s="1" t="n"/>
      <c r="B67" s="2" t="n"/>
      <c r="C67" s="29" t="inlineStr">
        <is>
          <t>Payback Period ภายใน</t>
        </is>
      </c>
      <c r="D67" s="179">
        <f>SUM(E57:I57)+1</f>
        <v/>
      </c>
      <c r="E67" s="1" t="inlineStr">
        <is>
          <t>ปี</t>
        </is>
      </c>
      <c r="F67" s="180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4" t="n"/>
      <c r="S67" s="1" t="n"/>
      <c r="T67" s="1" t="n"/>
      <c r="U67" s="1" t="n"/>
      <c r="V67" s="2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M67" s="1" t="n"/>
      <c r="AW67" s="1" t="n"/>
    </row>
    <row r="68" ht="20.25" customHeight="1">
      <c r="A68" s="1" t="n"/>
      <c r="B68" s="2" t="n"/>
      <c r="C68" s="29" t="inlineStr">
        <is>
          <t>Return on Investment (เฉลี่ย 5 ปี) =</t>
        </is>
      </c>
      <c r="D68" s="34">
        <f>AVERAGE(E58:I58)</f>
        <v/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4" t="n"/>
      <c r="S68" s="1" t="n"/>
      <c r="T68" s="1" t="n"/>
      <c r="U68" s="1" t="n"/>
      <c r="V68" s="2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M68" s="1" t="n"/>
      <c r="AW68" s="1" t="n"/>
    </row>
    <row r="69" ht="20.25" customHeight="1">
      <c r="A69" s="1" t="n"/>
      <c r="B69" s="2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4" t="n"/>
      <c r="S69" s="1" t="n"/>
      <c r="T69" s="1" t="n"/>
      <c r="U69" s="1" t="n"/>
      <c r="V69" s="2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M69" s="1" t="n"/>
      <c r="AW69" s="1" t="n"/>
    </row>
    <row r="70" ht="20.25" customHeight="1">
      <c r="A70" s="1" t="n"/>
      <c r="B70" s="2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4" t="n"/>
      <c r="S70" s="1" t="n"/>
      <c r="T70" s="1" t="n"/>
      <c r="U70" s="1" t="n"/>
      <c r="V70" s="2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M70" s="1" t="n"/>
      <c r="AW70" s="1" t="n"/>
    </row>
    <row r="71" ht="20.25" customHeight="1">
      <c r="A71" s="1" t="n"/>
      <c r="B71" s="2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4" t="n"/>
      <c r="S71" s="1" t="n"/>
      <c r="T71" s="1" t="n"/>
      <c r="U71" s="1" t="n"/>
      <c r="V71" s="2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M71" s="1" t="n"/>
      <c r="AW71" s="1" t="n"/>
    </row>
    <row r="72" ht="20.25" customHeight="1">
      <c r="A72" s="1" t="n"/>
      <c r="B72" s="2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4" t="n"/>
      <c r="S72" s="1" t="n"/>
      <c r="T72" s="1" t="n"/>
      <c r="U72" s="1" t="n"/>
      <c r="V72" s="2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M72" s="1" t="n"/>
      <c r="AW72" s="1" t="n"/>
    </row>
    <row r="73" ht="20.25" customHeight="1">
      <c r="A73" s="1" t="n"/>
      <c r="B73" s="2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4" t="n"/>
      <c r="S73" s="1" t="n"/>
      <c r="T73" s="1" t="n"/>
      <c r="U73" s="1" t="n"/>
      <c r="V73" s="2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M73" s="1" t="n"/>
      <c r="AW73" s="1" t="n"/>
    </row>
    <row r="74" ht="20.25" customHeight="1">
      <c r="A74" s="1" t="n"/>
      <c r="B74" s="2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4" t="n"/>
      <c r="S74" s="1" t="n"/>
      <c r="T74" s="1" t="n"/>
      <c r="U74" s="1" t="n"/>
      <c r="V74" s="2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M74" s="1" t="n"/>
      <c r="AW74" s="1" t="n"/>
    </row>
    <row r="75" ht="20.25" customHeight="1">
      <c r="A75" s="1" t="n"/>
      <c r="B75" s="2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4" t="n"/>
      <c r="S75" s="1" t="n"/>
      <c r="T75" s="1" t="n"/>
      <c r="U75" s="1" t="n"/>
      <c r="V75" s="2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M75" s="1" t="n"/>
      <c r="AW75" s="1" t="n"/>
    </row>
    <row r="76" ht="20.25" customHeight="1">
      <c r="A76" s="1" t="n"/>
      <c r="B76" s="2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4" t="n"/>
      <c r="S76" s="1" t="n"/>
      <c r="T76" s="1" t="n"/>
      <c r="U76" s="1" t="n"/>
      <c r="V76" s="2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M76" s="1" t="n"/>
      <c r="AW76" s="1" t="n"/>
    </row>
    <row r="77" ht="20.25" customHeight="1">
      <c r="A77" s="1" t="n"/>
      <c r="B77" s="2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4" t="n"/>
      <c r="S77" s="1" t="n"/>
      <c r="T77" s="1" t="n"/>
      <c r="U77" s="1" t="n"/>
      <c r="V77" s="2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M77" s="1" t="n"/>
      <c r="AW77" s="1" t="n"/>
    </row>
    <row r="78" ht="20.25" customHeight="1">
      <c r="A78" s="1" t="n"/>
      <c r="B78" s="2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4" t="n"/>
      <c r="S78" s="1" t="n"/>
      <c r="T78" s="1" t="n"/>
      <c r="U78" s="1" t="n"/>
      <c r="V78" s="2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M78" s="1" t="n"/>
      <c r="AW78" s="1" t="n"/>
    </row>
    <row r="79" ht="20.25" customHeight="1">
      <c r="A79" s="1" t="n"/>
      <c r="B79" s="2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4" t="n"/>
      <c r="S79" s="1" t="n"/>
      <c r="T79" s="1" t="n"/>
      <c r="U79" s="1" t="n"/>
      <c r="V79" s="2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M79" s="1" t="n"/>
      <c r="AW79" s="1" t="n"/>
    </row>
    <row r="80" ht="20.25" customHeight="1">
      <c r="A80" s="1" t="n"/>
      <c r="B80" s="2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4" t="n"/>
      <c r="S80" s="1" t="n"/>
      <c r="T80" s="1" t="n"/>
      <c r="U80" s="1" t="n"/>
      <c r="V80" s="2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M80" s="1" t="n"/>
      <c r="AW80" s="1" t="n"/>
    </row>
    <row r="81" ht="20.25" customHeight="1">
      <c r="A81" s="1" t="n"/>
      <c r="B81" s="2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4" t="n"/>
      <c r="S81" s="1" t="n"/>
      <c r="T81" s="1" t="n"/>
      <c r="U81" s="1" t="n"/>
      <c r="V81" s="2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M81" s="1" t="n"/>
      <c r="AW81" s="1" t="n"/>
    </row>
    <row r="82" ht="20.25" customHeight="1">
      <c r="A82" s="1" t="n"/>
      <c r="B82" s="2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4" t="n"/>
      <c r="S82" s="1" t="n"/>
      <c r="T82" s="1" t="n"/>
      <c r="U82" s="1" t="n"/>
      <c r="V82" s="2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M82" s="1" t="n"/>
      <c r="AW82" s="1" t="n"/>
    </row>
    <row r="83" ht="20.25" customHeight="1">
      <c r="A83" s="1" t="n"/>
      <c r="B83" s="2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4" t="n"/>
      <c r="S83" s="1" t="n"/>
      <c r="T83" s="1" t="n"/>
      <c r="U83" s="1" t="n"/>
      <c r="V83" s="2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M83" s="1" t="n"/>
      <c r="AW83" s="1" t="n"/>
    </row>
    <row r="84" ht="20.25" customHeight="1">
      <c r="A84" s="1" t="n"/>
      <c r="B84" s="2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4" t="n"/>
      <c r="S84" s="1" t="n"/>
      <c r="T84" s="1" t="n"/>
      <c r="U84" s="1" t="n"/>
      <c r="V84" s="2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M84" s="1" t="n"/>
      <c r="AW84" s="1" t="n"/>
    </row>
    <row r="85" ht="20.25" customHeight="1">
      <c r="A85" s="1" t="n"/>
      <c r="B85" s="2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4" t="n"/>
      <c r="S85" s="1" t="n"/>
      <c r="T85" s="1" t="n"/>
      <c r="U85" s="1" t="n"/>
      <c r="V85" s="2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M85" s="1" t="n"/>
      <c r="AW85" s="1" t="n"/>
    </row>
    <row r="86" ht="20.25" customHeight="1">
      <c r="A86" s="1" t="n"/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4" t="n"/>
      <c r="S86" s="1" t="n"/>
      <c r="T86" s="1" t="n"/>
      <c r="U86" s="1" t="n"/>
      <c r="V86" s="2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M86" s="1" t="n"/>
      <c r="AW86" s="1" t="n"/>
    </row>
    <row r="87" ht="20.25" customHeight="1">
      <c r="A87" s="1" t="n"/>
      <c r="B87" s="2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4" t="n"/>
      <c r="S87" s="1" t="n"/>
      <c r="T87" s="1" t="n"/>
      <c r="U87" s="1" t="n"/>
      <c r="V87" s="2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M87" s="1" t="n"/>
      <c r="AW87" s="1" t="n"/>
    </row>
    <row r="88" ht="20.25" customHeight="1">
      <c r="A88" s="1" t="n"/>
      <c r="B88" s="2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4" t="n"/>
      <c r="S88" s="1" t="n"/>
      <c r="T88" s="1" t="n"/>
      <c r="U88" s="1" t="n"/>
      <c r="V88" s="2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M88" s="1" t="n"/>
      <c r="AW88" s="1" t="n"/>
    </row>
    <row r="89" ht="20.25" customHeight="1">
      <c r="A89" s="1" t="n"/>
      <c r="B89" s="2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4" t="n"/>
      <c r="S89" s="1" t="n"/>
      <c r="T89" s="1" t="n"/>
      <c r="U89" s="1" t="n"/>
      <c r="V89" s="2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M89" s="1" t="n"/>
      <c r="AW89" s="1" t="n"/>
    </row>
    <row r="90" ht="20.25" customHeight="1">
      <c r="A90" s="1" t="n"/>
      <c r="B90" s="2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4" t="n"/>
      <c r="S90" s="1" t="n"/>
      <c r="T90" s="1" t="n"/>
      <c r="U90" s="1" t="n"/>
      <c r="V90" s="2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M90" s="1" t="n"/>
      <c r="AW90" s="1" t="n"/>
    </row>
    <row r="91" ht="20.25" customHeight="1">
      <c r="A91" s="1" t="n"/>
      <c r="B91" s="2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4" t="n"/>
      <c r="S91" s="1" t="n"/>
      <c r="T91" s="1" t="n"/>
      <c r="U91" s="1" t="n"/>
      <c r="V91" s="2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M91" s="1" t="n"/>
      <c r="AW91" s="1" t="n"/>
    </row>
    <row r="92" ht="20.25" customHeight="1">
      <c r="A92" s="1" t="n"/>
      <c r="B92" s="2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4" t="n"/>
      <c r="S92" s="1" t="n"/>
      <c r="T92" s="1" t="n"/>
      <c r="U92" s="1" t="n"/>
      <c r="V92" s="2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M92" s="1" t="n"/>
      <c r="AW92" s="1" t="n"/>
    </row>
    <row r="93" ht="20.25" customHeight="1">
      <c r="A93" s="1" t="n"/>
      <c r="B93" s="2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4" t="n"/>
      <c r="S93" s="1" t="n"/>
      <c r="T93" s="1" t="n"/>
      <c r="U93" s="1" t="n"/>
      <c r="V93" s="2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M93" s="1" t="n"/>
      <c r="AW93" s="1" t="n"/>
    </row>
    <row r="94" ht="20.25" customHeight="1">
      <c r="A94" s="1" t="n"/>
      <c r="B94" s="2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4" t="n"/>
      <c r="S94" s="1" t="n"/>
      <c r="T94" s="1" t="n"/>
      <c r="U94" s="1" t="n"/>
      <c r="V94" s="2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M94" s="1" t="n"/>
      <c r="AW94" s="1" t="n"/>
    </row>
    <row r="95" ht="20.25" customHeight="1">
      <c r="A95" s="1" t="n"/>
      <c r="B95" s="2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4" t="n"/>
      <c r="S95" s="1" t="n"/>
      <c r="T95" s="1" t="n"/>
      <c r="U95" s="1" t="n"/>
      <c r="V95" s="2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M95" s="1" t="n"/>
      <c r="AW95" s="1" t="n"/>
    </row>
    <row r="96" ht="20.25" customHeight="1">
      <c r="A96" s="1" t="n"/>
      <c r="B96" s="2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4" t="n"/>
      <c r="S96" s="1" t="n"/>
      <c r="T96" s="1" t="n"/>
      <c r="U96" s="1" t="n"/>
      <c r="V96" s="2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M96" s="1" t="n"/>
      <c r="AW96" s="1" t="n"/>
    </row>
    <row r="97" ht="20.25" customHeight="1">
      <c r="A97" s="1" t="n"/>
      <c r="B97" s="2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4" t="n"/>
      <c r="S97" s="1" t="n"/>
      <c r="T97" s="1" t="n"/>
      <c r="U97" s="1" t="n"/>
      <c r="V97" s="2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M97" s="1" t="n"/>
      <c r="AW97" s="1" t="n"/>
    </row>
    <row r="98" ht="20.25" customHeight="1">
      <c r="A98" s="1" t="n"/>
      <c r="B98" s="2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4" t="n"/>
      <c r="S98" s="1" t="n"/>
      <c r="T98" s="1" t="n"/>
      <c r="U98" s="1" t="n"/>
      <c r="V98" s="2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M98" s="1" t="n"/>
      <c r="AW98" s="1" t="n"/>
    </row>
    <row r="99" ht="20.25" customHeight="1">
      <c r="A99" s="1" t="n"/>
      <c r="B99" s="2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4" t="n"/>
      <c r="S99" s="1" t="n"/>
      <c r="T99" s="1" t="n"/>
      <c r="U99" s="1" t="n"/>
      <c r="V99" s="2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M99" s="1" t="n"/>
      <c r="AW99" s="1" t="n"/>
    </row>
    <row r="100" ht="20.25" customHeight="1">
      <c r="A100" s="1" t="n"/>
      <c r="B100" s="2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4" t="n"/>
      <c r="S100" s="1" t="n"/>
      <c r="T100" s="1" t="n"/>
      <c r="U100" s="1" t="n"/>
      <c r="V100" s="2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M100" s="1" t="n"/>
      <c r="AW100" s="1" t="n"/>
    </row>
    <row r="101" ht="20.25" customHeight="1">
      <c r="A101" s="1" t="n"/>
      <c r="B101" s="2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4" t="n"/>
      <c r="S101" s="1" t="n"/>
      <c r="T101" s="1" t="n"/>
      <c r="U101" s="1" t="n"/>
      <c r="V101" s="2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M101" s="1" t="n"/>
      <c r="AW101" s="1" t="n"/>
    </row>
    <row r="102" ht="20.25" customHeight="1">
      <c r="A102" s="1" t="n"/>
      <c r="B102" s="2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4" t="n"/>
      <c r="S102" s="1" t="n"/>
      <c r="T102" s="1" t="n"/>
      <c r="U102" s="1" t="n"/>
      <c r="V102" s="2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M102" s="1" t="n"/>
      <c r="AW102" s="1" t="n"/>
    </row>
    <row r="103" ht="20.25" customHeight="1">
      <c r="A103" s="1" t="n"/>
      <c r="B103" s="2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4" t="n"/>
      <c r="S103" s="1" t="n"/>
      <c r="T103" s="1" t="n"/>
      <c r="U103" s="1" t="n"/>
      <c r="V103" s="2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M103" s="1" t="n"/>
      <c r="AW103" s="1" t="n"/>
    </row>
    <row r="104" ht="20.25" customHeight="1">
      <c r="A104" s="1" t="n"/>
      <c r="B104" s="2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4" t="n"/>
      <c r="S104" s="1" t="n"/>
      <c r="T104" s="1" t="n"/>
      <c r="U104" s="1" t="n"/>
      <c r="V104" s="2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M104" s="1" t="n"/>
      <c r="AW104" s="1" t="n"/>
    </row>
    <row r="105" ht="20.25" customHeight="1">
      <c r="A105" s="1" t="n"/>
      <c r="B105" s="2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4" t="n"/>
      <c r="S105" s="1" t="n"/>
      <c r="T105" s="1" t="n"/>
      <c r="U105" s="1" t="n"/>
      <c r="V105" s="2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M105" s="1" t="n"/>
      <c r="AW105" s="1" t="n"/>
    </row>
    <row r="106" ht="20.25" customHeight="1">
      <c r="A106" s="1" t="n"/>
      <c r="B106" s="2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4" t="n"/>
      <c r="S106" s="1" t="n"/>
      <c r="T106" s="1" t="n"/>
      <c r="U106" s="1" t="n"/>
      <c r="V106" s="2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M106" s="1" t="n"/>
      <c r="AW106" s="1" t="n"/>
    </row>
    <row r="107" ht="20.25" customHeight="1">
      <c r="A107" s="1" t="n"/>
      <c r="B107" s="2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4" t="n"/>
      <c r="S107" s="1" t="n"/>
      <c r="T107" s="1" t="n"/>
      <c r="U107" s="1" t="n"/>
      <c r="V107" s="2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M107" s="1" t="n"/>
      <c r="AW107" s="1" t="n"/>
    </row>
    <row r="108" ht="20.25" customHeight="1">
      <c r="A108" s="1" t="n"/>
      <c r="B108" s="2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4" t="n"/>
      <c r="S108" s="1" t="n"/>
      <c r="T108" s="1" t="n"/>
      <c r="U108" s="1" t="n"/>
      <c r="V108" s="2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M108" s="1" t="n"/>
      <c r="AW108" s="1" t="n"/>
    </row>
    <row r="109" ht="20.25" customHeight="1">
      <c r="A109" s="1" t="n"/>
      <c r="B109" s="2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4" t="n"/>
      <c r="S109" s="1" t="n"/>
      <c r="T109" s="1" t="n"/>
      <c r="U109" s="1" t="n"/>
      <c r="V109" s="2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M109" s="1" t="n"/>
      <c r="AW109" s="1" t="n"/>
    </row>
    <row r="110" ht="20.25" customHeight="1">
      <c r="A110" s="1" t="n"/>
      <c r="B110" s="2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4" t="n"/>
      <c r="S110" s="1" t="n"/>
      <c r="T110" s="1" t="n"/>
      <c r="U110" s="1" t="n"/>
      <c r="V110" s="2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M110" s="1" t="n"/>
      <c r="AW110" s="1" t="n"/>
    </row>
    <row r="111" ht="20.25" customHeight="1">
      <c r="A111" s="1" t="n"/>
      <c r="B111" s="2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4" t="n"/>
      <c r="S111" s="1" t="n"/>
      <c r="T111" s="1" t="n"/>
      <c r="U111" s="1" t="n"/>
      <c r="V111" s="2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M111" s="1" t="n"/>
      <c r="AW111" s="1" t="n"/>
    </row>
    <row r="112" ht="20.25" customHeight="1">
      <c r="A112" s="1" t="n"/>
      <c r="B112" s="2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4" t="n"/>
      <c r="S112" s="1" t="n"/>
      <c r="T112" s="1" t="n"/>
      <c r="U112" s="1" t="n"/>
      <c r="V112" s="2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M112" s="1" t="n"/>
      <c r="AW112" s="1" t="n"/>
    </row>
    <row r="113" ht="20.25" customHeight="1">
      <c r="A113" s="1" t="n"/>
      <c r="B113" s="2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4" t="n"/>
      <c r="S113" s="1" t="n"/>
      <c r="T113" s="1" t="n"/>
      <c r="U113" s="1" t="n"/>
      <c r="V113" s="2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M113" s="1" t="n"/>
      <c r="AW113" s="1" t="n"/>
    </row>
    <row r="114" ht="20.25" customHeight="1">
      <c r="A114" s="1" t="n"/>
      <c r="B114" s="2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4" t="n"/>
      <c r="S114" s="1" t="n"/>
      <c r="T114" s="1" t="n"/>
      <c r="U114" s="1" t="n"/>
      <c r="V114" s="2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M114" s="1" t="n"/>
      <c r="AW114" s="1" t="n"/>
    </row>
    <row r="115" ht="20.25" customHeight="1">
      <c r="A115" s="1" t="n"/>
      <c r="B115" s="2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4" t="n"/>
      <c r="S115" s="1" t="n"/>
      <c r="T115" s="1" t="n"/>
      <c r="U115" s="1" t="n"/>
      <c r="V115" s="2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M115" s="1" t="n"/>
      <c r="AW115" s="1" t="n"/>
    </row>
    <row r="116" ht="20.25" customHeight="1">
      <c r="A116" s="1" t="n"/>
      <c r="B116" s="2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4" t="n"/>
      <c r="S116" s="1" t="n"/>
      <c r="T116" s="1" t="n"/>
      <c r="U116" s="1" t="n"/>
      <c r="V116" s="2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M116" s="1" t="n"/>
      <c r="AW116" s="1" t="n"/>
    </row>
    <row r="117" ht="20.25" customHeight="1">
      <c r="A117" s="1" t="n"/>
      <c r="B117" s="2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4" t="n"/>
      <c r="S117" s="1" t="n"/>
      <c r="T117" s="1" t="n"/>
      <c r="U117" s="1" t="n"/>
      <c r="V117" s="2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M117" s="1" t="n"/>
      <c r="AW117" s="1" t="n"/>
    </row>
    <row r="118" ht="20.25" customHeight="1">
      <c r="A118" s="1" t="n"/>
      <c r="B118" s="2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4" t="n"/>
      <c r="S118" s="1" t="n"/>
      <c r="T118" s="1" t="n"/>
      <c r="U118" s="1" t="n"/>
      <c r="V118" s="2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M118" s="1" t="n"/>
      <c r="AW118" s="1" t="n"/>
    </row>
    <row r="119" ht="20.25" customHeight="1">
      <c r="A119" s="1" t="n"/>
      <c r="B119" s="2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4" t="n"/>
      <c r="S119" s="1" t="n"/>
      <c r="T119" s="1" t="n"/>
      <c r="U119" s="1" t="n"/>
      <c r="V119" s="2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M119" s="1" t="n"/>
      <c r="AW119" s="1" t="n"/>
    </row>
    <row r="120" ht="20.25" customHeight="1">
      <c r="A120" s="1" t="n"/>
      <c r="B120" s="2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4" t="n"/>
      <c r="S120" s="1" t="n"/>
      <c r="T120" s="1" t="n"/>
      <c r="U120" s="1" t="n"/>
      <c r="V120" s="2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M120" s="1" t="n"/>
      <c r="AW120" s="1" t="n"/>
    </row>
    <row r="121" ht="20.25" customHeight="1">
      <c r="A121" s="1" t="n"/>
      <c r="B121" s="2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4" t="n"/>
      <c r="S121" s="1" t="n"/>
      <c r="T121" s="1" t="n"/>
      <c r="U121" s="1" t="n"/>
      <c r="V121" s="2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M121" s="1" t="n"/>
      <c r="AW121" s="1" t="n"/>
    </row>
    <row r="122" ht="20.25" customHeight="1">
      <c r="A122" s="1" t="n"/>
      <c r="B122" s="2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4" t="n"/>
      <c r="S122" s="1" t="n"/>
      <c r="T122" s="1" t="n"/>
      <c r="U122" s="1" t="n"/>
      <c r="V122" s="2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M122" s="1" t="n"/>
      <c r="AW122" s="1" t="n"/>
    </row>
    <row r="123" ht="20.25" customHeight="1">
      <c r="A123" s="1" t="n"/>
      <c r="B123" s="2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4" t="n"/>
      <c r="S123" s="1" t="n"/>
      <c r="T123" s="1" t="n"/>
      <c r="U123" s="1" t="n"/>
      <c r="V123" s="2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M123" s="1" t="n"/>
      <c r="AW123" s="1" t="n"/>
    </row>
    <row r="124" ht="20.25" customHeight="1">
      <c r="A124" s="1" t="n"/>
      <c r="B124" s="2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4" t="n"/>
      <c r="S124" s="1" t="n"/>
      <c r="T124" s="1" t="n"/>
      <c r="U124" s="1" t="n"/>
      <c r="V124" s="2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M124" s="1" t="n"/>
      <c r="AW124" s="1" t="n"/>
    </row>
    <row r="125" ht="20.25" customHeight="1">
      <c r="A125" s="1" t="n"/>
      <c r="B125" s="2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4" t="n"/>
      <c r="S125" s="1" t="n"/>
      <c r="T125" s="1" t="n"/>
      <c r="U125" s="1" t="n"/>
      <c r="V125" s="2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M125" s="1" t="n"/>
      <c r="AW125" s="1" t="n"/>
    </row>
    <row r="126" ht="20.25" customHeight="1">
      <c r="A126" s="1" t="n"/>
      <c r="B126" s="2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4" t="n"/>
      <c r="S126" s="1" t="n"/>
      <c r="T126" s="1" t="n"/>
      <c r="U126" s="1" t="n"/>
      <c r="V126" s="2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M126" s="1" t="n"/>
      <c r="AW126" s="1" t="n"/>
    </row>
    <row r="127" ht="20.25" customHeight="1">
      <c r="A127" s="1" t="n"/>
      <c r="B127" s="2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4" t="n"/>
      <c r="S127" s="1" t="n"/>
      <c r="T127" s="1" t="n"/>
      <c r="U127" s="1" t="n"/>
      <c r="V127" s="2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M127" s="1" t="n"/>
      <c r="AW127" s="1" t="n"/>
    </row>
    <row r="128" ht="20.25" customHeight="1">
      <c r="A128" s="1" t="n"/>
      <c r="B128" s="2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4" t="n"/>
      <c r="S128" s="1" t="n"/>
      <c r="T128" s="1" t="n"/>
      <c r="U128" s="1" t="n"/>
      <c r="V128" s="2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M128" s="1" t="n"/>
      <c r="AW128" s="1" t="n"/>
    </row>
    <row r="129" ht="20.25" customHeight="1">
      <c r="A129" s="1" t="n"/>
      <c r="B129" s="2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4" t="n"/>
      <c r="S129" s="1" t="n"/>
      <c r="T129" s="1" t="n"/>
      <c r="U129" s="1" t="n"/>
      <c r="V129" s="2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M129" s="1" t="n"/>
      <c r="AW129" s="1" t="n"/>
    </row>
    <row r="130" ht="20.25" customHeight="1">
      <c r="A130" s="1" t="n"/>
      <c r="B130" s="2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4" t="n"/>
      <c r="S130" s="1" t="n"/>
      <c r="T130" s="1" t="n"/>
      <c r="U130" s="1" t="n"/>
      <c r="V130" s="2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M130" s="1" t="n"/>
      <c r="AW130" s="1" t="n"/>
    </row>
    <row r="131" ht="20.25" customHeight="1">
      <c r="A131" s="1" t="n"/>
      <c r="B131" s="2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4" t="n"/>
      <c r="S131" s="1" t="n"/>
      <c r="T131" s="1" t="n"/>
      <c r="U131" s="1" t="n"/>
      <c r="V131" s="2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M131" s="1" t="n"/>
      <c r="AW131" s="1" t="n"/>
    </row>
    <row r="132" ht="20.25" customHeight="1">
      <c r="A132" s="1" t="n"/>
      <c r="B132" s="2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4" t="n"/>
      <c r="S132" s="1" t="n"/>
      <c r="T132" s="1" t="n"/>
      <c r="U132" s="1" t="n"/>
      <c r="V132" s="2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M132" s="1" t="n"/>
      <c r="AW132" s="1" t="n"/>
    </row>
    <row r="133" ht="20.25" customHeight="1">
      <c r="A133" s="1" t="n"/>
      <c r="B133" s="2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4" t="n"/>
      <c r="S133" s="1" t="n"/>
      <c r="T133" s="1" t="n"/>
      <c r="U133" s="1" t="n"/>
      <c r="V133" s="2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M133" s="1" t="n"/>
      <c r="AW133" s="1" t="n"/>
    </row>
    <row r="134" ht="20.25" customHeight="1">
      <c r="A134" s="1" t="n"/>
      <c r="B134" s="2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4" t="n"/>
      <c r="S134" s="1" t="n"/>
      <c r="T134" s="1" t="n"/>
      <c r="U134" s="1" t="n"/>
      <c r="V134" s="2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M134" s="1" t="n"/>
      <c r="AW134" s="1" t="n"/>
    </row>
    <row r="135" ht="20.25" customHeight="1">
      <c r="A135" s="1" t="n"/>
      <c r="B135" s="2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4" t="n"/>
      <c r="S135" s="1" t="n"/>
      <c r="T135" s="1" t="n"/>
      <c r="U135" s="1" t="n"/>
      <c r="V135" s="2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M135" s="1" t="n"/>
      <c r="AW135" s="1" t="n"/>
    </row>
    <row r="136" ht="20.25" customHeight="1">
      <c r="A136" s="1" t="n"/>
      <c r="B136" s="2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4" t="n"/>
      <c r="S136" s="1" t="n"/>
      <c r="T136" s="1" t="n"/>
      <c r="U136" s="1" t="n"/>
      <c r="V136" s="2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M136" s="1" t="n"/>
      <c r="AW136" s="1" t="n"/>
    </row>
    <row r="137" ht="20.25" customHeight="1">
      <c r="A137" s="1" t="n"/>
      <c r="B137" s="2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4" t="n"/>
      <c r="S137" s="1" t="n"/>
      <c r="T137" s="1" t="n"/>
      <c r="U137" s="1" t="n"/>
      <c r="V137" s="2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M137" s="1" t="n"/>
      <c r="AW137" s="1" t="n"/>
    </row>
    <row r="138" ht="20.25" customHeight="1">
      <c r="A138" s="1" t="n"/>
      <c r="B138" s="2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4" t="n"/>
      <c r="S138" s="1" t="n"/>
      <c r="T138" s="1" t="n"/>
      <c r="U138" s="1" t="n"/>
      <c r="V138" s="2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M138" s="1" t="n"/>
      <c r="AW138" s="1" t="n"/>
    </row>
    <row r="139" ht="20.25" customHeight="1">
      <c r="A139" s="1" t="n"/>
      <c r="B139" s="2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4" t="n"/>
      <c r="S139" s="1" t="n"/>
      <c r="T139" s="1" t="n"/>
      <c r="U139" s="1" t="n"/>
      <c r="V139" s="2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M139" s="1" t="n"/>
      <c r="AW139" s="1" t="n"/>
    </row>
    <row r="140" ht="20.25" customHeight="1">
      <c r="A140" s="1" t="n"/>
      <c r="B140" s="2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4" t="n"/>
      <c r="S140" s="1" t="n"/>
      <c r="T140" s="1" t="n"/>
      <c r="U140" s="1" t="n"/>
      <c r="V140" s="2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M140" s="1" t="n"/>
      <c r="AW140" s="1" t="n"/>
    </row>
    <row r="141" ht="20.25" customHeight="1">
      <c r="A141" s="1" t="n"/>
      <c r="B141" s="2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4" t="n"/>
      <c r="S141" s="1" t="n"/>
      <c r="T141" s="1" t="n"/>
      <c r="U141" s="1" t="n"/>
      <c r="V141" s="2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M141" s="1" t="n"/>
      <c r="AW141" s="1" t="n"/>
    </row>
    <row r="142" ht="20.25" customHeight="1">
      <c r="A142" s="1" t="n"/>
      <c r="B142" s="2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4" t="n"/>
      <c r="S142" s="1" t="n"/>
      <c r="T142" s="1" t="n"/>
      <c r="U142" s="1" t="n"/>
      <c r="V142" s="2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M142" s="1" t="n"/>
      <c r="AW142" s="1" t="n"/>
    </row>
    <row r="143" ht="20.25" customHeight="1">
      <c r="A143" s="1" t="n"/>
      <c r="B143" s="2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4" t="n"/>
      <c r="S143" s="1" t="n"/>
      <c r="T143" s="1" t="n"/>
      <c r="U143" s="1" t="n"/>
      <c r="V143" s="2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M143" s="1" t="n"/>
      <c r="AW143" s="1" t="n"/>
    </row>
    <row r="144" ht="20.25" customHeight="1">
      <c r="A144" s="1" t="n"/>
      <c r="B144" s="2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4" t="n"/>
      <c r="S144" s="1" t="n"/>
      <c r="T144" s="1" t="n"/>
      <c r="U144" s="1" t="n"/>
      <c r="V144" s="2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M144" s="1" t="n"/>
      <c r="AW144" s="1" t="n"/>
    </row>
    <row r="145" ht="20.25" customHeight="1">
      <c r="A145" s="1" t="n"/>
      <c r="B145" s="2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4" t="n"/>
      <c r="S145" s="1" t="n"/>
      <c r="T145" s="1" t="n"/>
      <c r="U145" s="1" t="n"/>
      <c r="V145" s="2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M145" s="1" t="n"/>
      <c r="AW145" s="1" t="n"/>
    </row>
    <row r="146" ht="20.25" customHeight="1">
      <c r="A146" s="1" t="n"/>
      <c r="B146" s="2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4" t="n"/>
      <c r="S146" s="1" t="n"/>
      <c r="T146" s="1" t="n"/>
      <c r="U146" s="1" t="n"/>
      <c r="V146" s="2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M146" s="1" t="n"/>
      <c r="AW146" s="1" t="n"/>
    </row>
    <row r="147" ht="20.25" customHeight="1">
      <c r="A147" s="1" t="n"/>
      <c r="B147" s="2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4" t="n"/>
      <c r="S147" s="1" t="n"/>
      <c r="T147" s="1" t="n"/>
      <c r="U147" s="1" t="n"/>
      <c r="V147" s="2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M147" s="1" t="n"/>
      <c r="AW147" s="1" t="n"/>
    </row>
    <row r="148" ht="20.25" customHeight="1">
      <c r="A148" s="1" t="n"/>
      <c r="B148" s="2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4" t="n"/>
      <c r="S148" s="1" t="n"/>
      <c r="T148" s="1" t="n"/>
      <c r="U148" s="1" t="n"/>
      <c r="V148" s="2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M148" s="1" t="n"/>
      <c r="AW148" s="1" t="n"/>
    </row>
    <row r="149" ht="20.25" customHeight="1">
      <c r="A149" s="1" t="n"/>
      <c r="B149" s="2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4" t="n"/>
      <c r="S149" s="1" t="n"/>
      <c r="T149" s="1" t="n"/>
      <c r="U149" s="1" t="n"/>
      <c r="V149" s="2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M149" s="1" t="n"/>
      <c r="AW149" s="1" t="n"/>
    </row>
    <row r="150" ht="20.25" customHeight="1">
      <c r="A150" s="1" t="n"/>
      <c r="B150" s="2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4" t="n"/>
      <c r="S150" s="1" t="n"/>
      <c r="T150" s="1" t="n"/>
      <c r="U150" s="1" t="n"/>
      <c r="V150" s="2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M150" s="1" t="n"/>
      <c r="AW150" s="1" t="n"/>
    </row>
    <row r="151" ht="20.25" customHeight="1">
      <c r="A151" s="1" t="n"/>
      <c r="B151" s="2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4" t="n"/>
      <c r="S151" s="1" t="n"/>
      <c r="T151" s="1" t="n"/>
      <c r="U151" s="1" t="n"/>
      <c r="V151" s="2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M151" s="1" t="n"/>
      <c r="AW151" s="1" t="n"/>
    </row>
    <row r="152" ht="20.25" customHeight="1">
      <c r="A152" s="1" t="n"/>
      <c r="B152" s="2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4" t="n"/>
      <c r="S152" s="1" t="n"/>
      <c r="T152" s="1" t="n"/>
      <c r="U152" s="1" t="n"/>
      <c r="V152" s="2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M152" s="1" t="n"/>
      <c r="AW152" s="1" t="n"/>
    </row>
    <row r="153" ht="20.25" customHeight="1">
      <c r="A153" s="1" t="n"/>
      <c r="B153" s="2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4" t="n"/>
      <c r="S153" s="1" t="n"/>
      <c r="T153" s="1" t="n"/>
      <c r="U153" s="1" t="n"/>
      <c r="V153" s="2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M153" s="1" t="n"/>
      <c r="AW153" s="1" t="n"/>
    </row>
    <row r="154" ht="20.25" customHeight="1">
      <c r="A154" s="1" t="n"/>
      <c r="B154" s="2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4" t="n"/>
      <c r="S154" s="1" t="n"/>
      <c r="T154" s="1" t="n"/>
      <c r="U154" s="1" t="n"/>
      <c r="V154" s="2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M154" s="1" t="n"/>
      <c r="AW154" s="1" t="n"/>
    </row>
    <row r="155" ht="20.25" customHeight="1">
      <c r="A155" s="1" t="n"/>
      <c r="B155" s="2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4" t="n"/>
      <c r="S155" s="1" t="n"/>
      <c r="T155" s="1" t="n"/>
      <c r="U155" s="1" t="n"/>
      <c r="V155" s="2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M155" s="1" t="n"/>
      <c r="AW155" s="1" t="n"/>
    </row>
    <row r="156" ht="20.25" customHeight="1">
      <c r="A156" s="1" t="n"/>
      <c r="B156" s="2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4" t="n"/>
      <c r="S156" s="1" t="n"/>
      <c r="T156" s="1" t="n"/>
      <c r="U156" s="1" t="n"/>
      <c r="V156" s="2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M156" s="1" t="n"/>
      <c r="AW156" s="1" t="n"/>
    </row>
    <row r="157" ht="20.25" customHeight="1">
      <c r="A157" s="1" t="n"/>
      <c r="B157" s="2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4" t="n"/>
      <c r="S157" s="1" t="n"/>
      <c r="T157" s="1" t="n"/>
      <c r="U157" s="1" t="n"/>
      <c r="V157" s="2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M157" s="1" t="n"/>
      <c r="AW157" s="1" t="n"/>
    </row>
    <row r="158" ht="20.25" customHeight="1">
      <c r="A158" s="1" t="n"/>
      <c r="B158" s="2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4" t="n"/>
      <c r="S158" s="1" t="n"/>
      <c r="T158" s="1" t="n"/>
      <c r="U158" s="1" t="n"/>
      <c r="V158" s="2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M158" s="1" t="n"/>
      <c r="AW158" s="1" t="n"/>
    </row>
    <row r="159" ht="20.25" customHeight="1">
      <c r="A159" s="1" t="n"/>
      <c r="B159" s="2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4" t="n"/>
      <c r="S159" s="1" t="n"/>
      <c r="T159" s="1" t="n"/>
      <c r="U159" s="1" t="n"/>
      <c r="V159" s="2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M159" s="1" t="n"/>
      <c r="AW159" s="1" t="n"/>
    </row>
    <row r="160" ht="20.25" customHeight="1">
      <c r="A160" s="1" t="n"/>
      <c r="B160" s="2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4" t="n"/>
      <c r="S160" s="1" t="n"/>
      <c r="T160" s="1" t="n"/>
      <c r="U160" s="1" t="n"/>
      <c r="V160" s="2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M160" s="1" t="n"/>
      <c r="AW160" s="1" t="n"/>
    </row>
    <row r="161" ht="20.25" customHeight="1">
      <c r="A161" s="1" t="n"/>
      <c r="B161" s="2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4" t="n"/>
      <c r="S161" s="1" t="n"/>
      <c r="T161" s="1" t="n"/>
      <c r="U161" s="1" t="n"/>
      <c r="V161" s="2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M161" s="1" t="n"/>
      <c r="AW161" s="1" t="n"/>
    </row>
    <row r="162" ht="20.25" customHeight="1">
      <c r="A162" s="1" t="n"/>
      <c r="B162" s="2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4" t="n"/>
      <c r="S162" s="1" t="n"/>
      <c r="T162" s="1" t="n"/>
      <c r="U162" s="1" t="n"/>
      <c r="V162" s="2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M162" s="1" t="n"/>
      <c r="AW162" s="1" t="n"/>
    </row>
    <row r="163" ht="20.25" customHeight="1">
      <c r="A163" s="1" t="n"/>
      <c r="B163" s="2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4" t="n"/>
      <c r="S163" s="1" t="n"/>
      <c r="T163" s="1" t="n"/>
      <c r="U163" s="1" t="n"/>
      <c r="V163" s="2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M163" s="1" t="n"/>
      <c r="AW163" s="1" t="n"/>
    </row>
    <row r="164" ht="20.25" customHeight="1">
      <c r="A164" s="1" t="n"/>
      <c r="B164" s="2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4" t="n"/>
      <c r="S164" s="1" t="n"/>
      <c r="T164" s="1" t="n"/>
      <c r="U164" s="1" t="n"/>
      <c r="V164" s="2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M164" s="1" t="n"/>
      <c r="AW164" s="1" t="n"/>
    </row>
    <row r="165" ht="20.25" customHeight="1">
      <c r="A165" s="1" t="n"/>
      <c r="B165" s="2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4" t="n"/>
      <c r="S165" s="1" t="n"/>
      <c r="T165" s="1" t="n"/>
      <c r="U165" s="1" t="n"/>
      <c r="V165" s="2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M165" s="1" t="n"/>
      <c r="AW165" s="1" t="n"/>
    </row>
    <row r="166" ht="20.25" customHeight="1">
      <c r="A166" s="1" t="n"/>
      <c r="B166" s="2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4" t="n"/>
      <c r="S166" s="1" t="n"/>
      <c r="T166" s="1" t="n"/>
      <c r="U166" s="1" t="n"/>
      <c r="V166" s="2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M166" s="1" t="n"/>
      <c r="AW166" s="1" t="n"/>
    </row>
    <row r="167" ht="20.25" customHeight="1">
      <c r="A167" s="1" t="n"/>
      <c r="B167" s="2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4" t="n"/>
      <c r="S167" s="1" t="n"/>
      <c r="T167" s="1" t="n"/>
      <c r="U167" s="1" t="n"/>
      <c r="V167" s="2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M167" s="1" t="n"/>
      <c r="AW167" s="1" t="n"/>
    </row>
    <row r="168" ht="20.25" customHeight="1">
      <c r="A168" s="1" t="n"/>
      <c r="B168" s="2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4" t="n"/>
      <c r="S168" s="1" t="n"/>
      <c r="T168" s="1" t="n"/>
      <c r="U168" s="1" t="n"/>
      <c r="V168" s="2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M168" s="1" t="n"/>
      <c r="AW168" s="1" t="n"/>
    </row>
    <row r="169" ht="20.25" customHeight="1">
      <c r="A169" s="1" t="n"/>
      <c r="B169" s="2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4" t="n"/>
      <c r="S169" s="1" t="n"/>
      <c r="T169" s="1" t="n"/>
      <c r="U169" s="1" t="n"/>
      <c r="V169" s="2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M169" s="1" t="n"/>
      <c r="AW169" s="1" t="n"/>
    </row>
    <row r="170" ht="20.25" customHeight="1">
      <c r="A170" s="1" t="n"/>
      <c r="B170" s="2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4" t="n"/>
      <c r="S170" s="1" t="n"/>
      <c r="T170" s="1" t="n"/>
      <c r="U170" s="1" t="n"/>
      <c r="V170" s="2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M170" s="1" t="n"/>
      <c r="AW170" s="1" t="n"/>
    </row>
    <row r="171" ht="20.25" customHeight="1">
      <c r="A171" s="1" t="n"/>
      <c r="B171" s="2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4" t="n"/>
      <c r="S171" s="1" t="n"/>
      <c r="T171" s="1" t="n"/>
      <c r="U171" s="1" t="n"/>
      <c r="V171" s="2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M171" s="1" t="n"/>
      <c r="AW171" s="1" t="n"/>
    </row>
    <row r="172" ht="20.25" customHeight="1">
      <c r="A172" s="1" t="n"/>
      <c r="B172" s="2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4" t="n"/>
      <c r="S172" s="1" t="n"/>
      <c r="T172" s="1" t="n"/>
      <c r="U172" s="1" t="n"/>
      <c r="V172" s="2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M172" s="1" t="n"/>
      <c r="AW172" s="1" t="n"/>
    </row>
    <row r="173" ht="20.25" customHeight="1">
      <c r="A173" s="1" t="n"/>
      <c r="B173" s="2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4" t="n"/>
      <c r="S173" s="1" t="n"/>
      <c r="T173" s="1" t="n"/>
      <c r="U173" s="1" t="n"/>
      <c r="V173" s="2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M173" s="1" t="n"/>
      <c r="AW173" s="1" t="n"/>
    </row>
    <row r="174" ht="20.25" customHeight="1">
      <c r="A174" s="1" t="n"/>
      <c r="B174" s="2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4" t="n"/>
      <c r="S174" s="1" t="n"/>
      <c r="T174" s="1" t="n"/>
      <c r="U174" s="1" t="n"/>
      <c r="V174" s="2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M174" s="1" t="n"/>
      <c r="AW174" s="1" t="n"/>
    </row>
    <row r="175" ht="20.25" customHeight="1">
      <c r="A175" s="1" t="n"/>
      <c r="B175" s="2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4" t="n"/>
      <c r="S175" s="1" t="n"/>
      <c r="T175" s="1" t="n"/>
      <c r="U175" s="1" t="n"/>
      <c r="V175" s="2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M175" s="1" t="n"/>
      <c r="AW175" s="1" t="n"/>
    </row>
    <row r="176" ht="20.25" customHeight="1">
      <c r="A176" s="1" t="n"/>
      <c r="B176" s="2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4" t="n"/>
      <c r="S176" s="1" t="n"/>
      <c r="T176" s="1" t="n"/>
      <c r="U176" s="1" t="n"/>
      <c r="V176" s="2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M176" s="1" t="n"/>
      <c r="AW176" s="1" t="n"/>
    </row>
    <row r="177" ht="20.25" customHeight="1">
      <c r="A177" s="1" t="n"/>
      <c r="B177" s="2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4" t="n"/>
      <c r="S177" s="1" t="n"/>
      <c r="T177" s="1" t="n"/>
      <c r="U177" s="1" t="n"/>
      <c r="V177" s="2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M177" s="1" t="n"/>
      <c r="AW177" s="1" t="n"/>
    </row>
    <row r="178" ht="20.25" customHeight="1">
      <c r="A178" s="1" t="n"/>
      <c r="B178" s="2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4" t="n"/>
      <c r="S178" s="1" t="n"/>
      <c r="T178" s="1" t="n"/>
      <c r="U178" s="1" t="n"/>
      <c r="V178" s="2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M178" s="1" t="n"/>
      <c r="AW178" s="1" t="n"/>
    </row>
    <row r="179" ht="20.25" customHeight="1">
      <c r="A179" s="1" t="n"/>
      <c r="B179" s="2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4" t="n"/>
      <c r="S179" s="1" t="n"/>
      <c r="T179" s="1" t="n"/>
      <c r="U179" s="1" t="n"/>
      <c r="V179" s="2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M179" s="1" t="n"/>
      <c r="AW179" s="1" t="n"/>
    </row>
    <row r="180" ht="20.25" customHeight="1">
      <c r="A180" s="1" t="n"/>
      <c r="B180" s="2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4" t="n"/>
      <c r="S180" s="1" t="n"/>
      <c r="T180" s="1" t="n"/>
      <c r="U180" s="1" t="n"/>
      <c r="V180" s="2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M180" s="1" t="n"/>
      <c r="AW180" s="1" t="n"/>
    </row>
    <row r="181" ht="20.25" customHeight="1">
      <c r="A181" s="1" t="n"/>
      <c r="B181" s="2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4" t="n"/>
      <c r="S181" s="1" t="n"/>
      <c r="T181" s="1" t="n"/>
      <c r="U181" s="1" t="n"/>
      <c r="V181" s="2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M181" s="1" t="n"/>
      <c r="AW181" s="1" t="n"/>
    </row>
    <row r="182" ht="20.25" customHeight="1">
      <c r="A182" s="1" t="n"/>
      <c r="B182" s="2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4" t="n"/>
      <c r="S182" s="1" t="n"/>
      <c r="T182" s="1" t="n"/>
      <c r="U182" s="1" t="n"/>
      <c r="V182" s="2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M182" s="1" t="n"/>
      <c r="AW182" s="1" t="n"/>
    </row>
    <row r="183" ht="20.25" customHeight="1">
      <c r="A183" s="1" t="n"/>
      <c r="B183" s="2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4" t="n"/>
      <c r="S183" s="1" t="n"/>
      <c r="T183" s="1" t="n"/>
      <c r="U183" s="1" t="n"/>
      <c r="V183" s="2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M183" s="1" t="n"/>
      <c r="AW183" s="1" t="n"/>
    </row>
    <row r="184" ht="20.25" customHeight="1">
      <c r="A184" s="1" t="n"/>
      <c r="B184" s="2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4" t="n"/>
      <c r="S184" s="1" t="n"/>
      <c r="T184" s="1" t="n"/>
      <c r="U184" s="1" t="n"/>
      <c r="V184" s="2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M184" s="1" t="n"/>
      <c r="AW184" s="1" t="n"/>
    </row>
    <row r="185" ht="20.25" customHeight="1">
      <c r="A185" s="1" t="n"/>
      <c r="B185" s="2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4" t="n"/>
      <c r="S185" s="1" t="n"/>
      <c r="T185" s="1" t="n"/>
      <c r="U185" s="1" t="n"/>
      <c r="V185" s="2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M185" s="1" t="n"/>
      <c r="AW185" s="1" t="n"/>
    </row>
    <row r="186" ht="20.25" customHeight="1">
      <c r="A186" s="1" t="n"/>
      <c r="B186" s="2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1" t="n"/>
      <c r="T186" s="1" t="n"/>
      <c r="U186" s="1" t="n"/>
      <c r="V186" s="2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M186" s="1" t="n"/>
      <c r="AW186" s="1" t="n"/>
    </row>
    <row r="187" ht="20.25" customHeight="1">
      <c r="A187" s="1" t="n"/>
      <c r="B187" s="2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4" t="n"/>
      <c r="S187" s="1" t="n"/>
      <c r="T187" s="1" t="n"/>
      <c r="U187" s="1" t="n"/>
      <c r="V187" s="2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M187" s="1" t="n"/>
      <c r="AW187" s="1" t="n"/>
    </row>
    <row r="188" ht="20.25" customHeight="1">
      <c r="A188" s="1" t="n"/>
      <c r="B188" s="2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1" t="n"/>
      <c r="T188" s="1" t="n"/>
      <c r="U188" s="1" t="n"/>
      <c r="V188" s="2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M188" s="1" t="n"/>
      <c r="AW188" s="1" t="n"/>
    </row>
    <row r="189" ht="20.25" customHeight="1">
      <c r="A189" s="1" t="n"/>
      <c r="B189" s="2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4" t="n"/>
      <c r="S189" s="1" t="n"/>
      <c r="T189" s="1" t="n"/>
      <c r="U189" s="1" t="n"/>
      <c r="V189" s="2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M189" s="1" t="n"/>
      <c r="AW189" s="1" t="n"/>
    </row>
    <row r="190" ht="20.25" customHeight="1">
      <c r="A190" s="1" t="n"/>
      <c r="B190" s="2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4" t="n"/>
      <c r="S190" s="1" t="n"/>
      <c r="T190" s="1" t="n"/>
      <c r="U190" s="1" t="n"/>
      <c r="V190" s="2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M190" s="1" t="n"/>
      <c r="AW190" s="1" t="n"/>
    </row>
    <row r="191" ht="20.25" customHeight="1">
      <c r="A191" s="1" t="n"/>
      <c r="B191" s="2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1" t="n"/>
      <c r="T191" s="1" t="n"/>
      <c r="U191" s="1" t="n"/>
      <c r="V191" s="2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M191" s="1" t="n"/>
      <c r="AW191" s="1" t="n"/>
    </row>
    <row r="192" ht="20.25" customHeight="1">
      <c r="A192" s="1" t="n"/>
      <c r="B192" s="2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4" t="n"/>
      <c r="S192" s="1" t="n"/>
      <c r="T192" s="1" t="n"/>
      <c r="U192" s="1" t="n"/>
      <c r="V192" s="2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M192" s="1" t="n"/>
      <c r="AW192" s="1" t="n"/>
    </row>
    <row r="193" ht="20.25" customHeight="1">
      <c r="A193" s="1" t="n"/>
      <c r="B193" s="2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4" t="n"/>
      <c r="S193" s="1" t="n"/>
      <c r="T193" s="1" t="n"/>
      <c r="U193" s="1" t="n"/>
      <c r="V193" s="2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M193" s="1" t="n"/>
      <c r="AW193" s="1" t="n"/>
    </row>
    <row r="194" ht="20.25" customHeight="1">
      <c r="A194" s="1" t="n"/>
      <c r="B194" s="2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4" t="n"/>
      <c r="S194" s="1" t="n"/>
      <c r="T194" s="1" t="n"/>
      <c r="U194" s="1" t="n"/>
      <c r="V194" s="2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M194" s="1" t="n"/>
      <c r="AW194" s="1" t="n"/>
    </row>
    <row r="195" ht="20.25" customHeight="1">
      <c r="A195" s="1" t="n"/>
      <c r="B195" s="2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4" t="n"/>
      <c r="S195" s="1" t="n"/>
      <c r="T195" s="1" t="n"/>
      <c r="U195" s="1" t="n"/>
      <c r="V195" s="2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M195" s="1" t="n"/>
      <c r="AW195" s="1" t="n"/>
    </row>
    <row r="196" ht="20.25" customHeight="1">
      <c r="A196" s="1" t="n"/>
      <c r="B196" s="2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4" t="n"/>
      <c r="S196" s="1" t="n"/>
      <c r="T196" s="1" t="n"/>
      <c r="U196" s="1" t="n"/>
      <c r="V196" s="2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M196" s="1" t="n"/>
      <c r="AW196" s="1" t="n"/>
    </row>
    <row r="197" ht="20.25" customHeight="1">
      <c r="A197" s="1" t="n"/>
      <c r="B197" s="2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4" t="n"/>
      <c r="S197" s="1" t="n"/>
      <c r="T197" s="1" t="n"/>
      <c r="U197" s="1" t="n"/>
      <c r="V197" s="2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M197" s="1" t="n"/>
      <c r="AW197" s="1" t="n"/>
    </row>
    <row r="198" ht="20.25" customHeight="1">
      <c r="A198" s="1" t="n"/>
      <c r="B198" s="2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4" t="n"/>
      <c r="S198" s="1" t="n"/>
      <c r="T198" s="1" t="n"/>
      <c r="U198" s="1" t="n"/>
      <c r="V198" s="2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M198" s="1" t="n"/>
      <c r="AW198" s="1" t="n"/>
    </row>
    <row r="199" ht="20.25" customHeight="1">
      <c r="A199" s="1" t="n"/>
      <c r="B199" s="2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4" t="n"/>
      <c r="S199" s="1" t="n"/>
      <c r="T199" s="1" t="n"/>
      <c r="U199" s="1" t="n"/>
      <c r="V199" s="2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M199" s="1" t="n"/>
      <c r="AW199" s="1" t="n"/>
    </row>
    <row r="200" ht="20.25" customHeight="1">
      <c r="A200" s="1" t="n"/>
      <c r="B200" s="2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4" t="n"/>
      <c r="S200" s="1" t="n"/>
      <c r="T200" s="1" t="n"/>
      <c r="U200" s="1" t="n"/>
      <c r="V200" s="2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M200" s="1" t="n"/>
      <c r="AW200" s="1" t="n"/>
    </row>
    <row r="201" ht="20.25" customHeight="1">
      <c r="A201" s="1" t="n"/>
      <c r="B201" s="2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4" t="n"/>
      <c r="S201" s="1" t="n"/>
      <c r="T201" s="1" t="n"/>
      <c r="U201" s="1" t="n"/>
      <c r="V201" s="2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M201" s="1" t="n"/>
      <c r="AW201" s="1" t="n"/>
    </row>
    <row r="202" ht="20.25" customHeight="1">
      <c r="A202" s="1" t="n"/>
      <c r="B202" s="2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4" t="n"/>
      <c r="S202" s="1" t="n"/>
      <c r="T202" s="1" t="n"/>
      <c r="U202" s="1" t="n"/>
      <c r="V202" s="2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M202" s="1" t="n"/>
      <c r="AW202" s="1" t="n"/>
    </row>
    <row r="203" ht="20.25" customHeight="1">
      <c r="A203" s="1" t="n"/>
      <c r="B203" s="2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4" t="n"/>
      <c r="S203" s="1" t="n"/>
      <c r="T203" s="1" t="n"/>
      <c r="U203" s="1" t="n"/>
      <c r="V203" s="2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M203" s="1" t="n"/>
      <c r="AW203" s="1" t="n"/>
    </row>
    <row r="204" ht="20.25" customHeight="1">
      <c r="A204" s="1" t="n"/>
      <c r="B204" s="2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4" t="n"/>
      <c r="S204" s="1" t="n"/>
      <c r="T204" s="1" t="n"/>
      <c r="U204" s="1" t="n"/>
      <c r="V204" s="2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M204" s="1" t="n"/>
      <c r="AW204" s="1" t="n"/>
    </row>
    <row r="205" ht="20.25" customHeight="1">
      <c r="A205" s="1" t="n"/>
      <c r="B205" s="2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4" t="n"/>
      <c r="S205" s="1" t="n"/>
      <c r="T205" s="1" t="n"/>
      <c r="U205" s="1" t="n"/>
      <c r="V205" s="2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M205" s="1" t="n"/>
      <c r="AW205" s="1" t="n"/>
    </row>
    <row r="206" ht="20.25" customHeight="1">
      <c r="A206" s="1" t="n"/>
      <c r="B206" s="2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4" t="n"/>
      <c r="S206" s="1" t="n"/>
      <c r="T206" s="1" t="n"/>
      <c r="U206" s="1" t="n"/>
      <c r="V206" s="2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M206" s="1" t="n"/>
      <c r="AW206" s="1" t="n"/>
    </row>
    <row r="207" ht="20.25" customHeight="1">
      <c r="A207" s="1" t="n"/>
      <c r="B207" s="2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4" t="n"/>
      <c r="S207" s="1" t="n"/>
      <c r="T207" s="1" t="n"/>
      <c r="U207" s="1" t="n"/>
      <c r="V207" s="2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M207" s="1" t="n"/>
      <c r="AW207" s="1" t="n"/>
    </row>
    <row r="208" ht="20.25" customHeight="1">
      <c r="A208" s="1" t="n"/>
      <c r="B208" s="2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1" t="n"/>
      <c r="T208" s="1" t="n"/>
      <c r="U208" s="1" t="n"/>
      <c r="V208" s="2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M208" s="1" t="n"/>
      <c r="AW208" s="1" t="n"/>
    </row>
    <row r="209" ht="20.25" customHeight="1">
      <c r="A209" s="1" t="n"/>
      <c r="B209" s="2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4" t="n"/>
      <c r="S209" s="1" t="n"/>
      <c r="T209" s="1" t="n"/>
      <c r="U209" s="1" t="n"/>
      <c r="V209" s="2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M209" s="1" t="n"/>
      <c r="AW209" s="1" t="n"/>
    </row>
    <row r="210" ht="20.25" customHeight="1">
      <c r="A210" s="1" t="n"/>
      <c r="B210" s="2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4" t="n"/>
      <c r="S210" s="1" t="n"/>
      <c r="T210" s="1" t="n"/>
      <c r="U210" s="1" t="n"/>
      <c r="V210" s="2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M210" s="1" t="n"/>
      <c r="AW210" s="1" t="n"/>
    </row>
    <row r="211" ht="20.25" customHeight="1">
      <c r="A211" s="1" t="n"/>
      <c r="B211" s="2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4" t="n"/>
      <c r="S211" s="1" t="n"/>
      <c r="T211" s="1" t="n"/>
      <c r="U211" s="1" t="n"/>
      <c r="V211" s="2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M211" s="1" t="n"/>
      <c r="AW211" s="1" t="n"/>
    </row>
    <row r="212" ht="20.25" customHeight="1">
      <c r="A212" s="1" t="n"/>
      <c r="B212" s="2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4" t="n"/>
      <c r="S212" s="1" t="n"/>
      <c r="T212" s="1" t="n"/>
      <c r="U212" s="1" t="n"/>
      <c r="V212" s="2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M212" s="1" t="n"/>
      <c r="AW212" s="1" t="n"/>
    </row>
    <row r="213" ht="20.25" customHeight="1">
      <c r="A213" s="1" t="n"/>
      <c r="B213" s="2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4" t="n"/>
      <c r="S213" s="1" t="n"/>
      <c r="T213" s="1" t="n"/>
      <c r="U213" s="1" t="n"/>
      <c r="V213" s="2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M213" s="1" t="n"/>
      <c r="AW213" s="1" t="n"/>
    </row>
    <row r="214" ht="20.25" customHeight="1">
      <c r="A214" s="1" t="n"/>
      <c r="B214" s="2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4" t="n"/>
      <c r="S214" s="1" t="n"/>
      <c r="T214" s="1" t="n"/>
      <c r="U214" s="1" t="n"/>
      <c r="V214" s="2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M214" s="1" t="n"/>
      <c r="AW214" s="1" t="n"/>
    </row>
    <row r="215" ht="20.25" customHeight="1">
      <c r="A215" s="1" t="n"/>
      <c r="B215" s="2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1" t="n"/>
      <c r="T215" s="1" t="n"/>
      <c r="U215" s="1" t="n"/>
      <c r="V215" s="2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M215" s="1" t="n"/>
      <c r="AW215" s="1" t="n"/>
    </row>
    <row r="216" ht="20.25" customHeight="1">
      <c r="A216" s="1" t="n"/>
      <c r="B216" s="2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4" t="n"/>
      <c r="S216" s="1" t="n"/>
      <c r="T216" s="1" t="n"/>
      <c r="U216" s="1" t="n"/>
      <c r="V216" s="2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M216" s="1" t="n"/>
      <c r="AW216" s="1" t="n"/>
    </row>
    <row r="217" ht="20.25" customHeight="1">
      <c r="A217" s="1" t="n"/>
      <c r="B217" s="2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4" t="n"/>
      <c r="S217" s="1" t="n"/>
      <c r="T217" s="1" t="n"/>
      <c r="U217" s="1" t="n"/>
      <c r="V217" s="2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M217" s="1" t="n"/>
      <c r="AW217" s="1" t="n"/>
    </row>
    <row r="218" ht="20.25" customHeight="1">
      <c r="A218" s="1" t="n"/>
      <c r="B218" s="2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4" t="n"/>
      <c r="S218" s="1" t="n"/>
      <c r="T218" s="1" t="n"/>
      <c r="U218" s="1" t="n"/>
      <c r="V218" s="2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M218" s="1" t="n"/>
      <c r="AW218" s="1" t="n"/>
    </row>
    <row r="219" ht="20.25" customHeight="1">
      <c r="A219" s="1" t="n"/>
      <c r="B219" s="2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4" t="n"/>
      <c r="S219" s="1" t="n"/>
      <c r="T219" s="1" t="n"/>
      <c r="U219" s="1" t="n"/>
      <c r="V219" s="2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M219" s="1" t="n"/>
      <c r="AW219" s="1" t="n"/>
    </row>
    <row r="220" ht="20.25" customHeight="1">
      <c r="A220" s="1" t="n"/>
      <c r="B220" s="2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4" t="n"/>
      <c r="S220" s="1" t="n"/>
      <c r="T220" s="1" t="n"/>
      <c r="U220" s="1" t="n"/>
      <c r="V220" s="2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M220" s="1" t="n"/>
      <c r="AW220" s="1" t="n"/>
    </row>
    <row r="221" ht="20.25" customHeight="1">
      <c r="A221" s="1" t="n"/>
      <c r="B221" s="2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4" t="n"/>
      <c r="S221" s="1" t="n"/>
      <c r="T221" s="1" t="n"/>
      <c r="U221" s="1" t="n"/>
      <c r="V221" s="2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M221" s="1" t="n"/>
      <c r="AW221" s="1" t="n"/>
    </row>
    <row r="222" ht="20.25" customHeight="1">
      <c r="A222" s="1" t="n"/>
      <c r="B222" s="2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4" t="n"/>
      <c r="S222" s="1" t="n"/>
      <c r="T222" s="1" t="n"/>
      <c r="U222" s="1" t="n"/>
      <c r="V222" s="2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M222" s="1" t="n"/>
      <c r="AW222" s="1" t="n"/>
    </row>
    <row r="223" ht="20.25" customHeight="1">
      <c r="A223" s="1" t="n"/>
      <c r="B223" s="2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4" t="n"/>
      <c r="S223" s="1" t="n"/>
      <c r="T223" s="1" t="n"/>
      <c r="U223" s="1" t="n"/>
      <c r="V223" s="2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M223" s="1" t="n"/>
      <c r="AW223" s="1" t="n"/>
    </row>
    <row r="224" ht="20.25" customHeight="1">
      <c r="A224" s="1" t="n"/>
      <c r="B224" s="2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4" t="n"/>
      <c r="S224" s="1" t="n"/>
      <c r="T224" s="1" t="n"/>
      <c r="U224" s="1" t="n"/>
      <c r="V224" s="2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M224" s="1" t="n"/>
      <c r="AW224" s="1" t="n"/>
    </row>
    <row r="225" ht="20.25" customHeight="1">
      <c r="A225" s="1" t="n"/>
      <c r="B225" s="2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1" t="n"/>
      <c r="T225" s="1" t="n"/>
      <c r="U225" s="1" t="n"/>
      <c r="V225" s="2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M225" s="1" t="n"/>
      <c r="AW225" s="1" t="n"/>
    </row>
    <row r="226" ht="20.25" customHeight="1">
      <c r="A226" s="1" t="n"/>
      <c r="B226" s="2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4" t="n"/>
      <c r="S226" s="1" t="n"/>
      <c r="T226" s="1" t="n"/>
      <c r="U226" s="1" t="n"/>
      <c r="V226" s="2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M226" s="1" t="n"/>
      <c r="AW226" s="1" t="n"/>
    </row>
    <row r="227" ht="20.25" customHeight="1">
      <c r="A227" s="1" t="n"/>
      <c r="B227" s="2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4" t="n"/>
      <c r="S227" s="1" t="n"/>
      <c r="T227" s="1" t="n"/>
      <c r="U227" s="1" t="n"/>
      <c r="V227" s="2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M227" s="1" t="n"/>
      <c r="AW227" s="1" t="n"/>
    </row>
    <row r="228" ht="20.25" customHeight="1">
      <c r="A228" s="1" t="n"/>
      <c r="B228" s="2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4" t="n"/>
      <c r="S228" s="1" t="n"/>
      <c r="T228" s="1" t="n"/>
      <c r="U228" s="1" t="n"/>
      <c r="V228" s="2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M228" s="1" t="n"/>
      <c r="AW228" s="1" t="n"/>
    </row>
    <row r="229" ht="20.25" customHeight="1">
      <c r="A229" s="1" t="n"/>
      <c r="B229" s="2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4" t="n"/>
      <c r="S229" s="1" t="n"/>
      <c r="T229" s="1" t="n"/>
      <c r="U229" s="1" t="n"/>
      <c r="V229" s="2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M229" s="1" t="n"/>
      <c r="AW229" s="1" t="n"/>
    </row>
    <row r="230" ht="20.25" customHeight="1">
      <c r="A230" s="1" t="n"/>
      <c r="B230" s="2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4" t="n"/>
      <c r="S230" s="1" t="n"/>
      <c r="T230" s="1" t="n"/>
      <c r="U230" s="1" t="n"/>
      <c r="V230" s="2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M230" s="1" t="n"/>
      <c r="AW230" s="1" t="n"/>
    </row>
    <row r="231" ht="20.25" customHeight="1">
      <c r="A231" s="1" t="n"/>
      <c r="B231" s="2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4" t="n"/>
      <c r="S231" s="1" t="n"/>
      <c r="T231" s="1" t="n"/>
      <c r="U231" s="1" t="n"/>
      <c r="V231" s="2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M231" s="1" t="n"/>
      <c r="AW231" s="1" t="n"/>
    </row>
    <row r="232" ht="20.25" customHeight="1">
      <c r="A232" s="1" t="n"/>
      <c r="B232" s="2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4" t="n"/>
      <c r="S232" s="1" t="n"/>
      <c r="T232" s="1" t="n"/>
      <c r="U232" s="1" t="n"/>
      <c r="V232" s="2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M232" s="1" t="n"/>
      <c r="AW232" s="1" t="n"/>
    </row>
    <row r="233" ht="20.25" customHeight="1">
      <c r="A233" s="1" t="n"/>
      <c r="B233" s="2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1" t="n"/>
      <c r="T233" s="1" t="n"/>
      <c r="U233" s="1" t="n"/>
      <c r="V233" s="2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M233" s="1" t="n"/>
      <c r="AW233" s="1" t="n"/>
    </row>
    <row r="234" ht="20.25" customHeight="1">
      <c r="A234" s="1" t="n"/>
      <c r="B234" s="2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4" t="n"/>
      <c r="S234" s="1" t="n"/>
      <c r="T234" s="1" t="n"/>
      <c r="U234" s="1" t="n"/>
      <c r="V234" s="2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M234" s="1" t="n"/>
      <c r="AW234" s="1" t="n"/>
    </row>
    <row r="235" ht="20.25" customHeight="1">
      <c r="A235" s="1" t="n"/>
      <c r="B235" s="2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1" t="n"/>
      <c r="T235" s="1" t="n"/>
      <c r="U235" s="1" t="n"/>
      <c r="V235" s="2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M235" s="1" t="n"/>
      <c r="AW235" s="1" t="n"/>
    </row>
    <row r="236" ht="20.25" customHeight="1">
      <c r="A236" s="1" t="n"/>
      <c r="B236" s="2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4" t="n"/>
      <c r="S236" s="1" t="n"/>
      <c r="T236" s="1" t="n"/>
      <c r="U236" s="1" t="n"/>
      <c r="V236" s="2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M236" s="1" t="n"/>
      <c r="AW236" s="1" t="n"/>
    </row>
    <row r="237" ht="20.25" customHeight="1">
      <c r="A237" s="1" t="n"/>
      <c r="B237" s="2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4" t="n"/>
      <c r="S237" s="1" t="n"/>
      <c r="T237" s="1" t="n"/>
      <c r="U237" s="1" t="n"/>
      <c r="V237" s="2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M237" s="1" t="n"/>
      <c r="AW237" s="1" t="n"/>
    </row>
    <row r="238" ht="20.25" customHeight="1">
      <c r="A238" s="1" t="n"/>
      <c r="B238" s="2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4" t="n"/>
      <c r="S238" s="1" t="n"/>
      <c r="T238" s="1" t="n"/>
      <c r="U238" s="1" t="n"/>
      <c r="V238" s="2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M238" s="1" t="n"/>
      <c r="AW238" s="1" t="n"/>
    </row>
    <row r="239" ht="20.25" customHeight="1">
      <c r="A239" s="1" t="n"/>
      <c r="B239" s="2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4" t="n"/>
      <c r="S239" s="1" t="n"/>
      <c r="T239" s="1" t="n"/>
      <c r="U239" s="1" t="n"/>
      <c r="V239" s="2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M239" s="1" t="n"/>
      <c r="AW239" s="1" t="n"/>
    </row>
    <row r="240" ht="20.25" customHeight="1">
      <c r="A240" s="1" t="n"/>
      <c r="B240" s="2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4" t="n"/>
      <c r="S240" s="1" t="n"/>
      <c r="T240" s="1" t="n"/>
      <c r="U240" s="1" t="n"/>
      <c r="V240" s="2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M240" s="1" t="n"/>
      <c r="AW240" s="1" t="n"/>
    </row>
    <row r="241" ht="20.25" customHeight="1">
      <c r="A241" s="1" t="n"/>
      <c r="B241" s="2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4" t="n"/>
      <c r="S241" s="1" t="n"/>
      <c r="T241" s="1" t="n"/>
      <c r="U241" s="1" t="n"/>
      <c r="V241" s="2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M241" s="1" t="n"/>
      <c r="AW241" s="1" t="n"/>
    </row>
    <row r="242" ht="20.25" customHeight="1">
      <c r="A242" s="1" t="n"/>
      <c r="B242" s="2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4" t="n"/>
      <c r="S242" s="1" t="n"/>
      <c r="T242" s="1" t="n"/>
      <c r="U242" s="1" t="n"/>
      <c r="V242" s="2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M242" s="1" t="n"/>
      <c r="AW242" s="1" t="n"/>
    </row>
    <row r="243" ht="20.25" customHeight="1">
      <c r="A243" s="1" t="n"/>
      <c r="B243" s="2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4" t="n"/>
      <c r="S243" s="1" t="n"/>
      <c r="T243" s="1" t="n"/>
      <c r="U243" s="1" t="n"/>
      <c r="V243" s="2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M243" s="1" t="n"/>
      <c r="AW243" s="1" t="n"/>
    </row>
    <row r="244" ht="20.25" customHeight="1">
      <c r="A244" s="1" t="n"/>
      <c r="B244" s="2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4" t="n"/>
      <c r="S244" s="1" t="n"/>
      <c r="T244" s="1" t="n"/>
      <c r="U244" s="1" t="n"/>
      <c r="V244" s="2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M244" s="1" t="n"/>
      <c r="AW244" s="1" t="n"/>
    </row>
    <row r="245" ht="20.25" customHeight="1">
      <c r="A245" s="1" t="n"/>
      <c r="B245" s="2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4" t="n"/>
      <c r="S245" s="1" t="n"/>
      <c r="T245" s="1" t="n"/>
      <c r="U245" s="1" t="n"/>
      <c r="V245" s="2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M245" s="1" t="n"/>
      <c r="AW245" s="1" t="n"/>
    </row>
    <row r="246" ht="20.25" customHeight="1">
      <c r="A246" s="1" t="n"/>
      <c r="B246" s="2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1" t="n"/>
      <c r="T246" s="1" t="n"/>
      <c r="U246" s="1" t="n"/>
      <c r="V246" s="2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M246" s="1" t="n"/>
      <c r="AW246" s="1" t="n"/>
    </row>
    <row r="247" ht="20.25" customHeight="1">
      <c r="A247" s="1" t="n"/>
      <c r="B247" s="2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4" t="n"/>
      <c r="S247" s="1" t="n"/>
      <c r="T247" s="1" t="n"/>
      <c r="U247" s="1" t="n"/>
      <c r="V247" s="2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M247" s="1" t="n"/>
      <c r="AW247" s="1" t="n"/>
    </row>
    <row r="248" ht="20.25" customHeight="1">
      <c r="A248" s="1" t="n"/>
      <c r="B248" s="2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1" t="n"/>
      <c r="T248" s="1" t="n"/>
      <c r="U248" s="1" t="n"/>
      <c r="V248" s="2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M248" s="1" t="n"/>
      <c r="AW248" s="1" t="n"/>
    </row>
    <row r="249" ht="20.25" customHeight="1">
      <c r="A249" s="1" t="n"/>
      <c r="B249" s="2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4" t="n"/>
      <c r="S249" s="1" t="n"/>
      <c r="T249" s="1" t="n"/>
      <c r="U249" s="1" t="n"/>
      <c r="V249" s="2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M249" s="1" t="n"/>
      <c r="AW249" s="1" t="n"/>
    </row>
    <row r="250" ht="20.25" customHeight="1">
      <c r="A250" s="1" t="n"/>
      <c r="B250" s="2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4" t="n"/>
      <c r="S250" s="1" t="n"/>
      <c r="T250" s="1" t="n"/>
      <c r="U250" s="1" t="n"/>
      <c r="V250" s="2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M250" s="1" t="n"/>
      <c r="AW250" s="1" t="n"/>
    </row>
    <row r="251" ht="20.25" customHeight="1">
      <c r="A251" s="1" t="n"/>
      <c r="B251" s="2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4" t="n"/>
      <c r="S251" s="1" t="n"/>
      <c r="T251" s="1" t="n"/>
      <c r="U251" s="1" t="n"/>
      <c r="V251" s="2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M251" s="1" t="n"/>
      <c r="AW251" s="1" t="n"/>
    </row>
    <row r="252" ht="20.25" customHeight="1">
      <c r="A252" s="1" t="n"/>
      <c r="B252" s="2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4" t="n"/>
      <c r="S252" s="1" t="n"/>
      <c r="T252" s="1" t="n"/>
      <c r="U252" s="1" t="n"/>
      <c r="V252" s="2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M252" s="1" t="n"/>
      <c r="AW252" s="1" t="n"/>
    </row>
    <row r="253" ht="20.25" customHeight="1">
      <c r="A253" s="1" t="n"/>
      <c r="B253" s="2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4" t="n"/>
      <c r="S253" s="1" t="n"/>
      <c r="T253" s="1" t="n"/>
      <c r="U253" s="1" t="n"/>
      <c r="V253" s="2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M253" s="1" t="n"/>
      <c r="AW253" s="1" t="n"/>
    </row>
    <row r="254" ht="20.25" customHeight="1">
      <c r="A254" s="1" t="n"/>
      <c r="B254" s="2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4" t="n"/>
      <c r="S254" s="1" t="n"/>
      <c r="T254" s="1" t="n"/>
      <c r="U254" s="1" t="n"/>
      <c r="V254" s="2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M254" s="1" t="n"/>
      <c r="AW254" s="1" t="n"/>
    </row>
    <row r="255" ht="20.25" customHeight="1">
      <c r="A255" s="1" t="n"/>
      <c r="B255" s="2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4" t="n"/>
      <c r="S255" s="1" t="n"/>
      <c r="T255" s="1" t="n"/>
      <c r="U255" s="1" t="n"/>
      <c r="V255" s="2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M255" s="1" t="n"/>
      <c r="AW255" s="1" t="n"/>
    </row>
    <row r="256" ht="20.25" customHeight="1">
      <c r="A256" s="1" t="n"/>
      <c r="B256" s="2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4" t="n"/>
      <c r="S256" s="1" t="n"/>
      <c r="T256" s="1" t="n"/>
      <c r="U256" s="1" t="n"/>
      <c r="V256" s="2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M256" s="1" t="n"/>
      <c r="AW256" s="1" t="n"/>
    </row>
    <row r="257" ht="20.25" customHeight="1">
      <c r="A257" s="1" t="n"/>
      <c r="B257" s="2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4" t="n"/>
      <c r="S257" s="1" t="n"/>
      <c r="T257" s="1" t="n"/>
      <c r="U257" s="1" t="n"/>
      <c r="V257" s="2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M257" s="1" t="n"/>
      <c r="AW257" s="1" t="n"/>
    </row>
    <row r="258" ht="20.25" customHeight="1">
      <c r="A258" s="1" t="n"/>
      <c r="B258" s="2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4" t="n"/>
      <c r="S258" s="1" t="n"/>
      <c r="T258" s="1" t="n"/>
      <c r="U258" s="1" t="n"/>
      <c r="V258" s="2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M258" s="1" t="n"/>
      <c r="AW258" s="1" t="n"/>
    </row>
    <row r="259" ht="20.25" customHeight="1">
      <c r="A259" s="1" t="n"/>
      <c r="B259" s="2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1" t="n"/>
      <c r="T259" s="1" t="n"/>
      <c r="U259" s="1" t="n"/>
      <c r="V259" s="2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M259" s="1" t="n"/>
      <c r="AW259" s="1" t="n"/>
    </row>
    <row r="260" ht="20.25" customHeight="1">
      <c r="A260" s="1" t="n"/>
      <c r="B260" s="2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4" t="n"/>
      <c r="S260" s="1" t="n"/>
      <c r="T260" s="1" t="n"/>
      <c r="U260" s="1" t="n"/>
      <c r="V260" s="2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M260" s="1" t="n"/>
      <c r="AW260" s="1" t="n"/>
    </row>
    <row r="261" ht="20.25" customHeight="1">
      <c r="A261" s="1" t="n"/>
      <c r="B261" s="2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4" t="n"/>
      <c r="S261" s="1" t="n"/>
      <c r="T261" s="1" t="n"/>
      <c r="U261" s="1" t="n"/>
      <c r="V261" s="2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M261" s="1" t="n"/>
      <c r="AW261" s="1" t="n"/>
    </row>
    <row r="262" ht="20.25" customHeight="1">
      <c r="A262" s="1" t="n"/>
      <c r="B262" s="2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4" t="n"/>
      <c r="S262" s="1" t="n"/>
      <c r="T262" s="1" t="n"/>
      <c r="U262" s="1" t="n"/>
      <c r="V262" s="2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M262" s="1" t="n"/>
      <c r="AW262" s="1" t="n"/>
    </row>
    <row r="263" ht="20.25" customHeight="1">
      <c r="A263" s="1" t="n"/>
      <c r="B263" s="2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4" t="n"/>
      <c r="S263" s="1" t="n"/>
      <c r="T263" s="1" t="n"/>
      <c r="U263" s="1" t="n"/>
      <c r="V263" s="2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M263" s="1" t="n"/>
      <c r="AW263" s="1" t="n"/>
    </row>
    <row r="264" ht="20.25" customHeight="1">
      <c r="A264" s="1" t="n"/>
      <c r="B264" s="2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4" t="n"/>
      <c r="S264" s="1" t="n"/>
      <c r="T264" s="1" t="n"/>
      <c r="U264" s="1" t="n"/>
      <c r="V264" s="2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M264" s="1" t="n"/>
      <c r="AW264" s="1" t="n"/>
    </row>
    <row r="265" ht="20.25" customHeight="1">
      <c r="A265" s="1" t="n"/>
      <c r="B265" s="2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4" t="n"/>
      <c r="S265" s="1" t="n"/>
      <c r="T265" s="1" t="n"/>
      <c r="U265" s="1" t="n"/>
      <c r="V265" s="2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M265" s="1" t="n"/>
      <c r="AW265" s="1" t="n"/>
    </row>
    <row r="266" ht="20.25" customHeight="1">
      <c r="A266" s="1" t="n"/>
      <c r="B266" s="2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4" t="n"/>
      <c r="S266" s="1" t="n"/>
      <c r="T266" s="1" t="n"/>
      <c r="U266" s="1" t="n"/>
      <c r="V266" s="2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M266" s="1" t="n"/>
      <c r="AW266" s="1" t="n"/>
    </row>
    <row r="267" ht="20.25" customHeight="1">
      <c r="A267" s="1" t="n"/>
      <c r="B267" s="2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4" t="n"/>
      <c r="S267" s="1" t="n"/>
      <c r="T267" s="1" t="n"/>
      <c r="U267" s="1" t="n"/>
      <c r="V267" s="2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M267" s="1" t="n"/>
      <c r="AW267" s="1" t="n"/>
    </row>
    <row r="268" ht="20.25" customHeight="1">
      <c r="A268" s="1" t="n"/>
      <c r="B268" s="2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4" t="n"/>
      <c r="S268" s="1" t="n"/>
      <c r="T268" s="1" t="n"/>
      <c r="U268" s="1" t="n"/>
      <c r="V268" s="2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M268" s="1" t="n"/>
      <c r="AW268" s="1" t="n"/>
    </row>
    <row r="269" ht="20.25" customHeight="1">
      <c r="A269" s="1" t="n"/>
      <c r="B269" s="2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4" t="n"/>
      <c r="S269" s="1" t="n"/>
      <c r="T269" s="1" t="n"/>
      <c r="U269" s="1" t="n"/>
      <c r="V269" s="2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M269" s="1" t="n"/>
      <c r="AW269" s="1" t="n"/>
    </row>
    <row r="270" ht="20.25" customHeight="1">
      <c r="A270" s="1" t="n"/>
      <c r="B270" s="2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4" t="n"/>
      <c r="S270" s="1" t="n"/>
      <c r="T270" s="1" t="n"/>
      <c r="U270" s="1" t="n"/>
      <c r="V270" s="2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M270" s="1" t="n"/>
      <c r="AW270" s="1" t="n"/>
    </row>
    <row r="271" ht="20.25" customHeight="1">
      <c r="A271" s="1" t="n"/>
      <c r="B271" s="2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4" t="n"/>
      <c r="S271" s="1" t="n"/>
      <c r="T271" s="1" t="n"/>
      <c r="U271" s="1" t="n"/>
      <c r="V271" s="2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M271" s="1" t="n"/>
      <c r="AW271" s="1" t="n"/>
    </row>
    <row r="272" ht="20.25" customHeight="1">
      <c r="A272" s="1" t="n"/>
      <c r="B272" s="2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4" t="n"/>
      <c r="S272" s="1" t="n"/>
      <c r="T272" s="1" t="n"/>
      <c r="U272" s="1" t="n"/>
      <c r="V272" s="2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M272" s="1" t="n"/>
      <c r="AW272" s="1" t="n"/>
    </row>
    <row r="273" ht="20.25" customHeight="1">
      <c r="A273" s="1" t="n"/>
      <c r="B273" s="2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4" t="n"/>
      <c r="S273" s="1" t="n"/>
      <c r="T273" s="1" t="n"/>
      <c r="U273" s="1" t="n"/>
      <c r="V273" s="2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M273" s="1" t="n"/>
      <c r="AW273" s="1" t="n"/>
    </row>
    <row r="274" ht="20.25" customHeight="1">
      <c r="A274" s="1" t="n"/>
      <c r="B274" s="2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4" t="n"/>
      <c r="S274" s="1" t="n"/>
      <c r="T274" s="1" t="n"/>
      <c r="U274" s="1" t="n"/>
      <c r="V274" s="2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M274" s="1" t="n"/>
      <c r="AW274" s="1" t="n"/>
    </row>
    <row r="275" ht="20.25" customHeight="1">
      <c r="A275" s="1" t="n"/>
      <c r="B275" s="2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4" t="n"/>
      <c r="S275" s="1" t="n"/>
      <c r="T275" s="1" t="n"/>
      <c r="U275" s="1" t="n"/>
      <c r="V275" s="2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M275" s="1" t="n"/>
      <c r="AW275" s="1" t="n"/>
    </row>
    <row r="276" ht="20.25" customHeight="1">
      <c r="A276" s="1" t="n"/>
      <c r="B276" s="2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4" t="n"/>
      <c r="S276" s="1" t="n"/>
      <c r="T276" s="1" t="n"/>
      <c r="U276" s="1" t="n"/>
      <c r="V276" s="2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M276" s="1" t="n"/>
      <c r="AW276" s="1" t="n"/>
    </row>
    <row r="277" ht="20.25" customHeight="1">
      <c r="A277" s="1" t="n"/>
      <c r="B277" s="2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1" t="n"/>
      <c r="T277" s="1" t="n"/>
      <c r="U277" s="1" t="n"/>
      <c r="V277" s="2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M277" s="1" t="n"/>
      <c r="AW277" s="1" t="n"/>
    </row>
    <row r="278" ht="20.25" customHeight="1">
      <c r="A278" s="1" t="n"/>
      <c r="B278" s="2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4" t="n"/>
      <c r="S278" s="1" t="n"/>
      <c r="T278" s="1" t="n"/>
      <c r="U278" s="1" t="n"/>
      <c r="V278" s="2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M278" s="1" t="n"/>
      <c r="AW278" s="1" t="n"/>
    </row>
    <row r="279" ht="20.25" customHeight="1">
      <c r="A279" s="1" t="n"/>
      <c r="B279" s="2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4" t="n"/>
      <c r="S279" s="1" t="n"/>
      <c r="T279" s="1" t="n"/>
      <c r="U279" s="1" t="n"/>
      <c r="V279" s="2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M279" s="1" t="n"/>
      <c r="AW279" s="1" t="n"/>
    </row>
    <row r="280" ht="20.25" customHeight="1">
      <c r="A280" s="1" t="n"/>
      <c r="B280" s="2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4" t="n"/>
      <c r="S280" s="1" t="n"/>
      <c r="T280" s="1" t="n"/>
      <c r="U280" s="1" t="n"/>
      <c r="V280" s="2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M280" s="1" t="n"/>
      <c r="AW280" s="1" t="n"/>
    </row>
    <row r="281" ht="20.25" customHeight="1">
      <c r="A281" s="1" t="n"/>
      <c r="B281" s="2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1" t="n"/>
      <c r="T281" s="1" t="n"/>
      <c r="U281" s="1" t="n"/>
      <c r="V281" s="2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M281" s="1" t="n"/>
      <c r="AW281" s="1" t="n"/>
    </row>
    <row r="282" ht="20.25" customHeight="1">
      <c r="A282" s="1" t="n"/>
      <c r="B282" s="2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4" t="n"/>
      <c r="S282" s="1" t="n"/>
      <c r="T282" s="1" t="n"/>
      <c r="U282" s="1" t="n"/>
      <c r="V282" s="2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M282" s="1" t="n"/>
      <c r="AW282" s="1" t="n"/>
    </row>
    <row r="283" ht="20.25" customHeight="1">
      <c r="A283" s="1" t="n"/>
      <c r="B283" s="2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4" t="n"/>
      <c r="S283" s="1" t="n"/>
      <c r="T283" s="1" t="n"/>
      <c r="U283" s="1" t="n"/>
      <c r="V283" s="2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M283" s="1" t="n"/>
      <c r="AW283" s="1" t="n"/>
    </row>
    <row r="284" ht="20.25" customHeight="1">
      <c r="A284" s="1" t="n"/>
      <c r="B284" s="2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4" t="n"/>
      <c r="S284" s="1" t="n"/>
      <c r="T284" s="1" t="n"/>
      <c r="U284" s="1" t="n"/>
      <c r="V284" s="2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M284" s="1" t="n"/>
      <c r="AW284" s="1" t="n"/>
    </row>
    <row r="285" ht="20.25" customHeight="1">
      <c r="A285" s="1" t="n"/>
      <c r="B285" s="2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4" t="n"/>
      <c r="S285" s="1" t="n"/>
      <c r="T285" s="1" t="n"/>
      <c r="U285" s="1" t="n"/>
      <c r="V285" s="2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M285" s="1" t="n"/>
      <c r="AW285" s="1" t="n"/>
    </row>
    <row r="286" ht="20.25" customHeight="1">
      <c r="A286" s="1" t="n"/>
      <c r="B286" s="2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4" t="n"/>
      <c r="S286" s="1" t="n"/>
      <c r="T286" s="1" t="n"/>
      <c r="U286" s="1" t="n"/>
      <c r="V286" s="2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M286" s="1" t="n"/>
      <c r="AW286" s="1" t="n"/>
    </row>
    <row r="287" ht="20.25" customHeight="1">
      <c r="A287" s="1" t="n"/>
      <c r="B287" s="2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4" t="n"/>
      <c r="S287" s="1" t="n"/>
      <c r="T287" s="1" t="n"/>
      <c r="U287" s="1" t="n"/>
      <c r="V287" s="2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M287" s="1" t="n"/>
      <c r="AW287" s="1" t="n"/>
    </row>
    <row r="288" ht="20.25" customHeight="1">
      <c r="A288" s="1" t="n"/>
      <c r="B288" s="2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4" t="n"/>
      <c r="S288" s="1" t="n"/>
      <c r="T288" s="1" t="n"/>
      <c r="U288" s="1" t="n"/>
      <c r="V288" s="2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M288" s="1" t="n"/>
      <c r="AW288" s="1" t="n"/>
    </row>
    <row r="289" ht="20.25" customHeight="1">
      <c r="A289" s="1" t="n"/>
      <c r="B289" s="2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4" t="n"/>
      <c r="S289" s="1" t="n"/>
      <c r="T289" s="1" t="n"/>
      <c r="U289" s="1" t="n"/>
      <c r="V289" s="2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M289" s="1" t="n"/>
      <c r="AW289" s="1" t="n"/>
    </row>
    <row r="290" ht="20.25" customHeight="1">
      <c r="A290" s="1" t="n"/>
      <c r="B290" s="2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4" t="n"/>
      <c r="S290" s="1" t="n"/>
      <c r="T290" s="1" t="n"/>
      <c r="U290" s="1" t="n"/>
      <c r="V290" s="2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M290" s="1" t="n"/>
      <c r="AW290" s="1" t="n"/>
    </row>
    <row r="291" ht="20.25" customHeight="1">
      <c r="A291" s="1" t="n"/>
      <c r="B291" s="2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4" t="n"/>
      <c r="S291" s="1" t="n"/>
      <c r="T291" s="1" t="n"/>
      <c r="U291" s="1" t="n"/>
      <c r="V291" s="2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M291" s="1" t="n"/>
      <c r="AW291" s="1" t="n"/>
    </row>
    <row r="292" ht="20.25" customHeight="1">
      <c r="A292" s="1" t="n"/>
      <c r="B292" s="2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4" t="n"/>
      <c r="S292" s="1" t="n"/>
      <c r="T292" s="1" t="n"/>
      <c r="U292" s="1" t="n"/>
      <c r="V292" s="2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M292" s="1" t="n"/>
      <c r="AW292" s="1" t="n"/>
    </row>
    <row r="293" ht="20.25" customHeight="1">
      <c r="A293" s="1" t="n"/>
      <c r="B293" s="2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4" t="n"/>
      <c r="S293" s="1" t="n"/>
      <c r="T293" s="1" t="n"/>
      <c r="U293" s="1" t="n"/>
      <c r="V293" s="2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M293" s="1" t="n"/>
      <c r="AW293" s="1" t="n"/>
    </row>
    <row r="294" ht="20.25" customHeight="1">
      <c r="A294" s="1" t="n"/>
      <c r="B294" s="2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4" t="n"/>
      <c r="S294" s="1" t="n"/>
      <c r="T294" s="1" t="n"/>
      <c r="U294" s="1" t="n"/>
      <c r="V294" s="2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M294" s="1" t="n"/>
      <c r="AW294" s="1" t="n"/>
    </row>
    <row r="295" ht="20.25" customHeight="1">
      <c r="A295" s="1" t="n"/>
      <c r="B295" s="2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4" t="n"/>
      <c r="S295" s="1" t="n"/>
      <c r="T295" s="1" t="n"/>
      <c r="U295" s="1" t="n"/>
      <c r="V295" s="2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M295" s="1" t="n"/>
      <c r="AW295" s="1" t="n"/>
    </row>
    <row r="296" ht="20.25" customHeight="1">
      <c r="A296" s="1" t="n"/>
      <c r="B296" s="2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4" t="n"/>
      <c r="S296" s="1" t="n"/>
      <c r="T296" s="1" t="n"/>
      <c r="U296" s="1" t="n"/>
      <c r="V296" s="2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M296" s="1" t="n"/>
      <c r="AW296" s="1" t="n"/>
    </row>
    <row r="297" ht="20.25" customHeight="1">
      <c r="A297" s="1" t="n"/>
      <c r="B297" s="2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4" t="n"/>
      <c r="S297" s="1" t="n"/>
      <c r="T297" s="1" t="n"/>
      <c r="U297" s="1" t="n"/>
      <c r="V297" s="2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M297" s="1" t="n"/>
      <c r="AW297" s="1" t="n"/>
    </row>
    <row r="298" ht="20.25" customHeight="1">
      <c r="A298" s="1" t="n"/>
      <c r="B298" s="2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4" t="n"/>
      <c r="S298" s="1" t="n"/>
      <c r="T298" s="1" t="n"/>
      <c r="U298" s="1" t="n"/>
      <c r="V298" s="2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M298" s="1" t="n"/>
      <c r="AW298" s="1" t="n"/>
    </row>
    <row r="299" ht="20.25" customHeight="1">
      <c r="A299" s="1" t="n"/>
      <c r="B299" s="2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4" t="n"/>
      <c r="S299" s="1" t="n"/>
      <c r="T299" s="1" t="n"/>
      <c r="U299" s="1" t="n"/>
      <c r="V299" s="2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M299" s="1" t="n"/>
      <c r="AW299" s="1" t="n"/>
    </row>
    <row r="300" ht="20.25" customHeight="1">
      <c r="A300" s="1" t="n"/>
      <c r="B300" s="2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4" t="n"/>
      <c r="S300" s="1" t="n"/>
      <c r="T300" s="1" t="n"/>
      <c r="U300" s="1" t="n"/>
      <c r="V300" s="2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M300" s="1" t="n"/>
      <c r="AW300" s="1" t="n"/>
    </row>
    <row r="301" ht="20.25" customHeight="1">
      <c r="A301" s="1" t="n"/>
      <c r="B301" s="2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4" t="n"/>
      <c r="S301" s="1" t="n"/>
      <c r="T301" s="1" t="n"/>
      <c r="U301" s="1" t="n"/>
      <c r="V301" s="2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M301" s="1" t="n"/>
      <c r="AW301" s="1" t="n"/>
    </row>
    <row r="302" ht="20.25" customHeight="1">
      <c r="A302" s="1" t="n"/>
      <c r="B302" s="2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4" t="n"/>
      <c r="S302" s="1" t="n"/>
      <c r="T302" s="1" t="n"/>
      <c r="U302" s="1" t="n"/>
      <c r="V302" s="2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M302" s="1" t="n"/>
      <c r="AW302" s="1" t="n"/>
    </row>
    <row r="303" ht="20.25" customHeight="1">
      <c r="A303" s="1" t="n"/>
      <c r="B303" s="2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4" t="n"/>
      <c r="S303" s="1" t="n"/>
      <c r="T303" s="1" t="n"/>
      <c r="U303" s="1" t="n"/>
      <c r="V303" s="2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M303" s="1" t="n"/>
      <c r="AW303" s="1" t="n"/>
    </row>
    <row r="304" ht="20.25" customHeight="1">
      <c r="A304" s="1" t="n"/>
      <c r="B304" s="2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4" t="n"/>
      <c r="S304" s="1" t="n"/>
      <c r="T304" s="1" t="n"/>
      <c r="U304" s="1" t="n"/>
      <c r="V304" s="2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M304" s="1" t="n"/>
      <c r="AW304" s="1" t="n"/>
    </row>
    <row r="305" ht="20.25" customHeight="1">
      <c r="A305" s="1" t="n"/>
      <c r="B305" s="2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4" t="n"/>
      <c r="S305" s="1" t="n"/>
      <c r="T305" s="1" t="n"/>
      <c r="U305" s="1" t="n"/>
      <c r="V305" s="2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M305" s="1" t="n"/>
      <c r="AW305" s="1" t="n"/>
    </row>
    <row r="306" ht="20.25" customHeight="1">
      <c r="A306" s="1" t="n"/>
      <c r="B306" s="2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4" t="n"/>
      <c r="S306" s="1" t="n"/>
      <c r="T306" s="1" t="n"/>
      <c r="U306" s="1" t="n"/>
      <c r="V306" s="2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M306" s="1" t="n"/>
      <c r="AW306" s="1" t="n"/>
    </row>
    <row r="307" ht="20.25" customHeight="1">
      <c r="A307" s="1" t="n"/>
      <c r="B307" s="2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4" t="n"/>
      <c r="S307" s="1" t="n"/>
      <c r="T307" s="1" t="n"/>
      <c r="U307" s="1" t="n"/>
      <c r="V307" s="2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M307" s="1" t="n"/>
      <c r="AW307" s="1" t="n"/>
    </row>
    <row r="308" ht="20.25" customHeight="1">
      <c r="A308" s="1" t="n"/>
      <c r="B308" s="2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4" t="n"/>
      <c r="S308" s="1" t="n"/>
      <c r="T308" s="1" t="n"/>
      <c r="U308" s="1" t="n"/>
      <c r="V308" s="2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M308" s="1" t="n"/>
      <c r="AW308" s="1" t="n"/>
    </row>
    <row r="309" ht="20.25" customHeight="1">
      <c r="A309" s="1" t="n"/>
      <c r="B309" s="2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4" t="n"/>
      <c r="S309" s="1" t="n"/>
      <c r="T309" s="1" t="n"/>
      <c r="U309" s="1" t="n"/>
      <c r="V309" s="2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M309" s="1" t="n"/>
      <c r="AW309" s="1" t="n"/>
    </row>
    <row r="310" ht="20.25" customHeight="1">
      <c r="A310" s="1" t="n"/>
      <c r="B310" s="2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4" t="n"/>
      <c r="S310" s="1" t="n"/>
      <c r="T310" s="1" t="n"/>
      <c r="U310" s="1" t="n"/>
      <c r="V310" s="2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M310" s="1" t="n"/>
      <c r="AW310" s="1" t="n"/>
    </row>
    <row r="311" ht="20.25" customHeight="1">
      <c r="A311" s="1" t="n"/>
      <c r="B311" s="2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4" t="n"/>
      <c r="S311" s="1" t="n"/>
      <c r="T311" s="1" t="n"/>
      <c r="U311" s="1" t="n"/>
      <c r="V311" s="2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M311" s="1" t="n"/>
      <c r="AW311" s="1" t="n"/>
    </row>
    <row r="312" ht="20.25" customHeight="1">
      <c r="A312" s="1" t="n"/>
      <c r="B312" s="2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4" t="n"/>
      <c r="S312" s="1" t="n"/>
      <c r="T312" s="1" t="n"/>
      <c r="U312" s="1" t="n"/>
      <c r="V312" s="2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M312" s="1" t="n"/>
      <c r="AW312" s="1" t="n"/>
    </row>
    <row r="313" ht="20.25" customHeight="1">
      <c r="A313" s="1" t="n"/>
      <c r="B313" s="2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4" t="n"/>
      <c r="S313" s="1" t="n"/>
      <c r="T313" s="1" t="n"/>
      <c r="U313" s="1" t="n"/>
      <c r="V313" s="2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M313" s="1" t="n"/>
      <c r="AW313" s="1" t="n"/>
    </row>
    <row r="314" ht="20.25" customHeight="1">
      <c r="A314" s="1" t="n"/>
      <c r="B314" s="2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4" t="n"/>
      <c r="S314" s="1" t="n"/>
      <c r="T314" s="1" t="n"/>
      <c r="U314" s="1" t="n"/>
      <c r="V314" s="2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M314" s="1" t="n"/>
      <c r="AW314" s="1" t="n"/>
    </row>
    <row r="315" ht="20.25" customHeight="1">
      <c r="A315" s="1" t="n"/>
      <c r="B315" s="2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4" t="n"/>
      <c r="S315" s="1" t="n"/>
      <c r="T315" s="1" t="n"/>
      <c r="U315" s="1" t="n"/>
      <c r="V315" s="2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M315" s="1" t="n"/>
      <c r="AW315" s="1" t="n"/>
    </row>
    <row r="316" ht="20.25" customHeight="1">
      <c r="A316" s="1" t="n"/>
      <c r="B316" s="2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4" t="n"/>
      <c r="S316" s="1" t="n"/>
      <c r="T316" s="1" t="n"/>
      <c r="U316" s="1" t="n"/>
      <c r="V316" s="2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M316" s="1" t="n"/>
      <c r="AW316" s="1" t="n"/>
    </row>
    <row r="317" ht="20.25" customHeight="1">
      <c r="A317" s="1" t="n"/>
      <c r="B317" s="2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4" t="n"/>
      <c r="S317" s="1" t="n"/>
      <c r="T317" s="1" t="n"/>
      <c r="U317" s="1" t="n"/>
      <c r="V317" s="2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M317" s="1" t="n"/>
      <c r="AW317" s="1" t="n"/>
    </row>
    <row r="318" ht="20.25" customHeight="1">
      <c r="A318" s="1" t="n"/>
      <c r="B318" s="2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4" t="n"/>
      <c r="S318" s="1" t="n"/>
      <c r="T318" s="1" t="n"/>
      <c r="U318" s="1" t="n"/>
      <c r="V318" s="2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M318" s="1" t="n"/>
      <c r="AW318" s="1" t="n"/>
    </row>
    <row r="319" ht="20.25" customHeight="1">
      <c r="A319" s="1" t="n"/>
      <c r="B319" s="2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4" t="n"/>
      <c r="S319" s="1" t="n"/>
      <c r="T319" s="1" t="n"/>
      <c r="U319" s="1" t="n"/>
      <c r="V319" s="2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M319" s="1" t="n"/>
      <c r="AW319" s="1" t="n"/>
    </row>
    <row r="320" ht="20.25" customHeight="1">
      <c r="A320" s="1" t="n"/>
      <c r="B320" s="2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4" t="n"/>
      <c r="S320" s="1" t="n"/>
      <c r="T320" s="1" t="n"/>
      <c r="U320" s="1" t="n"/>
      <c r="V320" s="2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M320" s="1" t="n"/>
      <c r="AW320" s="1" t="n"/>
    </row>
    <row r="321" ht="20.25" customHeight="1">
      <c r="A321" s="1" t="n"/>
      <c r="B321" s="2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1" t="n"/>
      <c r="T321" s="1" t="n"/>
      <c r="U321" s="1" t="n"/>
      <c r="V321" s="2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M321" s="1" t="n"/>
      <c r="AW321" s="1" t="n"/>
    </row>
    <row r="322" ht="20.25" customHeight="1">
      <c r="A322" s="1" t="n"/>
      <c r="B322" s="2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4" t="n"/>
      <c r="S322" s="1" t="n"/>
      <c r="T322" s="1" t="n"/>
      <c r="U322" s="1" t="n"/>
      <c r="V322" s="2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M322" s="1" t="n"/>
      <c r="AW322" s="1" t="n"/>
    </row>
    <row r="323" ht="20.25" customHeight="1">
      <c r="A323" s="1" t="n"/>
      <c r="B323" s="2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4" t="n"/>
      <c r="S323" s="1" t="n"/>
      <c r="T323" s="1" t="n"/>
      <c r="U323" s="1" t="n"/>
      <c r="V323" s="2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M323" s="1" t="n"/>
      <c r="AW323" s="1" t="n"/>
    </row>
    <row r="324" ht="20.25" customHeight="1">
      <c r="A324" s="1" t="n"/>
      <c r="B324" s="2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4" t="n"/>
      <c r="S324" s="1" t="n"/>
      <c r="T324" s="1" t="n"/>
      <c r="U324" s="1" t="n"/>
      <c r="V324" s="2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M324" s="1" t="n"/>
      <c r="AW324" s="1" t="n"/>
    </row>
    <row r="325" ht="20.25" customHeight="1">
      <c r="A325" s="1" t="n"/>
      <c r="B325" s="2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4" t="n"/>
      <c r="S325" s="1" t="n"/>
      <c r="T325" s="1" t="n"/>
      <c r="U325" s="1" t="n"/>
      <c r="V325" s="2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M325" s="1" t="n"/>
      <c r="AW325" s="1" t="n"/>
    </row>
    <row r="326" ht="20.25" customHeight="1">
      <c r="A326" s="1" t="n"/>
      <c r="B326" s="2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4" t="n"/>
      <c r="S326" s="1" t="n"/>
      <c r="T326" s="1" t="n"/>
      <c r="U326" s="1" t="n"/>
      <c r="V326" s="2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M326" s="1" t="n"/>
      <c r="AW326" s="1" t="n"/>
    </row>
    <row r="327" ht="20.25" customHeight="1">
      <c r="A327" s="1" t="n"/>
      <c r="B327" s="2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4" t="n"/>
      <c r="S327" s="1" t="n"/>
      <c r="T327" s="1" t="n"/>
      <c r="U327" s="1" t="n"/>
      <c r="V327" s="2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M327" s="1" t="n"/>
      <c r="AW327" s="1" t="n"/>
    </row>
    <row r="328" ht="20.25" customHeight="1">
      <c r="A328" s="1" t="n"/>
      <c r="B328" s="2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4" t="n"/>
      <c r="S328" s="1" t="n"/>
      <c r="T328" s="1" t="n"/>
      <c r="U328" s="1" t="n"/>
      <c r="V328" s="2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M328" s="1" t="n"/>
      <c r="AW328" s="1" t="n"/>
    </row>
    <row r="329" ht="20.25" customHeight="1">
      <c r="A329" s="1" t="n"/>
      <c r="B329" s="2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4" t="n"/>
      <c r="S329" s="1" t="n"/>
      <c r="T329" s="1" t="n"/>
      <c r="U329" s="1" t="n"/>
      <c r="V329" s="2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M329" s="1" t="n"/>
      <c r="AW329" s="1" t="n"/>
    </row>
    <row r="330" ht="20.25" customHeight="1">
      <c r="A330" s="1" t="n"/>
      <c r="B330" s="2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4" t="n"/>
      <c r="S330" s="1" t="n"/>
      <c r="T330" s="1" t="n"/>
      <c r="U330" s="1" t="n"/>
      <c r="V330" s="2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M330" s="1" t="n"/>
      <c r="AW330" s="1" t="n"/>
    </row>
    <row r="331" ht="20.25" customHeight="1">
      <c r="A331" s="1" t="n"/>
      <c r="B331" s="2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4" t="n"/>
      <c r="S331" s="1" t="n"/>
      <c r="T331" s="1" t="n"/>
      <c r="U331" s="1" t="n"/>
      <c r="V331" s="2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M331" s="1" t="n"/>
      <c r="AW331" s="1" t="n"/>
    </row>
    <row r="332" ht="20.25" customHeight="1">
      <c r="A332" s="1" t="n"/>
      <c r="B332" s="2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4" t="n"/>
      <c r="S332" s="1" t="n"/>
      <c r="T332" s="1" t="n"/>
      <c r="U332" s="1" t="n"/>
      <c r="V332" s="2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M332" s="1" t="n"/>
      <c r="AW332" s="1" t="n"/>
    </row>
    <row r="333" ht="20.25" customHeight="1">
      <c r="A333" s="1" t="n"/>
      <c r="B333" s="2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4" t="n"/>
      <c r="S333" s="1" t="n"/>
      <c r="T333" s="1" t="n"/>
      <c r="U333" s="1" t="n"/>
      <c r="V333" s="2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M333" s="1" t="n"/>
      <c r="AW333" s="1" t="n"/>
    </row>
    <row r="334" ht="20.25" customHeight="1">
      <c r="A334" s="1" t="n"/>
      <c r="B334" s="2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4" t="n"/>
      <c r="S334" s="1" t="n"/>
      <c r="T334" s="1" t="n"/>
      <c r="U334" s="1" t="n"/>
      <c r="V334" s="2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M334" s="1" t="n"/>
      <c r="AW334" s="1" t="n"/>
    </row>
    <row r="335" ht="20.25" customHeight="1">
      <c r="A335" s="1" t="n"/>
      <c r="B335" s="2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4" t="n"/>
      <c r="S335" s="1" t="n"/>
      <c r="T335" s="1" t="n"/>
      <c r="U335" s="1" t="n"/>
      <c r="V335" s="2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M335" s="1" t="n"/>
      <c r="AW335" s="1" t="n"/>
    </row>
    <row r="336" ht="20.25" customHeight="1">
      <c r="A336" s="1" t="n"/>
      <c r="B336" s="2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4" t="n"/>
      <c r="S336" s="1" t="n"/>
      <c r="T336" s="1" t="n"/>
      <c r="U336" s="1" t="n"/>
      <c r="V336" s="2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M336" s="1" t="n"/>
      <c r="AW336" s="1" t="n"/>
    </row>
    <row r="337" ht="20.25" customHeight="1">
      <c r="A337" s="1" t="n"/>
      <c r="B337" s="2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4" t="n"/>
      <c r="S337" s="1" t="n"/>
      <c r="T337" s="1" t="n"/>
      <c r="U337" s="1" t="n"/>
      <c r="V337" s="2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M337" s="1" t="n"/>
      <c r="AW337" s="1" t="n"/>
    </row>
    <row r="338" ht="20.25" customHeight="1">
      <c r="A338" s="1" t="n"/>
      <c r="B338" s="2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4" t="n"/>
      <c r="S338" s="1" t="n"/>
      <c r="T338" s="1" t="n"/>
      <c r="U338" s="1" t="n"/>
      <c r="V338" s="2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M338" s="1" t="n"/>
      <c r="AW338" s="1" t="n"/>
    </row>
    <row r="339" ht="20.25" customHeight="1">
      <c r="A339" s="1" t="n"/>
      <c r="B339" s="2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4" t="n"/>
      <c r="S339" s="1" t="n"/>
      <c r="T339" s="1" t="n"/>
      <c r="U339" s="1" t="n"/>
      <c r="V339" s="2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M339" s="1" t="n"/>
      <c r="AW339" s="1" t="n"/>
    </row>
    <row r="340" ht="20.25" customHeight="1">
      <c r="A340" s="1" t="n"/>
      <c r="B340" s="2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4" t="n"/>
      <c r="S340" s="1" t="n"/>
      <c r="T340" s="1" t="n"/>
      <c r="U340" s="1" t="n"/>
      <c r="V340" s="2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M340" s="1" t="n"/>
      <c r="AW340" s="1" t="n"/>
    </row>
    <row r="341" ht="20.25" customHeight="1">
      <c r="A341" s="1" t="n"/>
      <c r="B341" s="2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4" t="n"/>
      <c r="S341" s="1" t="n"/>
      <c r="T341" s="1" t="n"/>
      <c r="U341" s="1" t="n"/>
      <c r="V341" s="2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M341" s="1" t="n"/>
      <c r="AW341" s="1" t="n"/>
    </row>
    <row r="342" ht="20.25" customHeight="1">
      <c r="A342" s="1" t="n"/>
      <c r="B342" s="2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4" t="n"/>
      <c r="S342" s="1" t="n"/>
      <c r="T342" s="1" t="n"/>
      <c r="U342" s="1" t="n"/>
      <c r="V342" s="2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M342" s="1" t="n"/>
      <c r="AW342" s="1" t="n"/>
    </row>
    <row r="343" ht="20.25" customHeight="1">
      <c r="A343" s="1" t="n"/>
      <c r="B343" s="2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4" t="n"/>
      <c r="S343" s="1" t="n"/>
      <c r="T343" s="1" t="n"/>
      <c r="U343" s="1" t="n"/>
      <c r="V343" s="2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M343" s="1" t="n"/>
      <c r="AW343" s="1" t="n"/>
    </row>
    <row r="344" ht="20.25" customHeight="1">
      <c r="A344" s="1" t="n"/>
      <c r="B344" s="2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1" t="n"/>
      <c r="T344" s="1" t="n"/>
      <c r="U344" s="1" t="n"/>
      <c r="V344" s="2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M344" s="1" t="n"/>
      <c r="AW344" s="1" t="n"/>
    </row>
    <row r="345" ht="20.25" customHeight="1">
      <c r="A345" s="1" t="n"/>
      <c r="B345" s="2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4" t="n"/>
      <c r="S345" s="1" t="n"/>
      <c r="T345" s="1" t="n"/>
      <c r="U345" s="1" t="n"/>
      <c r="V345" s="2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M345" s="1" t="n"/>
      <c r="AW345" s="1" t="n"/>
    </row>
    <row r="346" ht="20.25" customHeight="1">
      <c r="A346" s="1" t="n"/>
      <c r="B346" s="2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4" t="n"/>
      <c r="S346" s="1" t="n"/>
      <c r="T346" s="1" t="n"/>
      <c r="U346" s="1" t="n"/>
      <c r="V346" s="2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M346" s="1" t="n"/>
      <c r="AW346" s="1" t="n"/>
    </row>
    <row r="347" ht="20.25" customHeight="1">
      <c r="A347" s="1" t="n"/>
      <c r="B347" s="2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4" t="n"/>
      <c r="S347" s="1" t="n"/>
      <c r="T347" s="1" t="n"/>
      <c r="U347" s="1" t="n"/>
      <c r="V347" s="2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M347" s="1" t="n"/>
      <c r="AW347" s="1" t="n"/>
    </row>
    <row r="348" ht="20.25" customHeight="1">
      <c r="A348" s="1" t="n"/>
      <c r="B348" s="2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4" t="n"/>
      <c r="S348" s="1" t="n"/>
      <c r="T348" s="1" t="n"/>
      <c r="U348" s="1" t="n"/>
      <c r="V348" s="2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M348" s="1" t="n"/>
      <c r="AW348" s="1" t="n"/>
    </row>
    <row r="349" ht="20.25" customHeight="1">
      <c r="A349" s="1" t="n"/>
      <c r="B349" s="2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4" t="n"/>
      <c r="S349" s="1" t="n"/>
      <c r="T349" s="1" t="n"/>
      <c r="U349" s="1" t="n"/>
      <c r="V349" s="2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M349" s="1" t="n"/>
      <c r="AW349" s="1" t="n"/>
    </row>
    <row r="350" ht="20.25" customHeight="1">
      <c r="A350" s="1" t="n"/>
      <c r="B350" s="2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4" t="n"/>
      <c r="S350" s="1" t="n"/>
      <c r="T350" s="1" t="n"/>
      <c r="U350" s="1" t="n"/>
      <c r="V350" s="2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M350" s="1" t="n"/>
      <c r="AW350" s="1" t="n"/>
    </row>
    <row r="351" ht="20.25" customHeight="1">
      <c r="A351" s="1" t="n"/>
      <c r="B351" s="2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4" t="n"/>
      <c r="S351" s="1" t="n"/>
      <c r="T351" s="1" t="n"/>
      <c r="U351" s="1" t="n"/>
      <c r="V351" s="2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M351" s="1" t="n"/>
      <c r="AW351" s="1" t="n"/>
    </row>
    <row r="352" ht="20.25" customHeight="1">
      <c r="A352" s="1" t="n"/>
      <c r="B352" s="2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4" t="n"/>
      <c r="S352" s="1" t="n"/>
      <c r="T352" s="1" t="n"/>
      <c r="U352" s="1" t="n"/>
      <c r="V352" s="2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M352" s="1" t="n"/>
      <c r="AW352" s="1" t="n"/>
    </row>
    <row r="353" ht="20.25" customHeight="1">
      <c r="A353" s="1" t="n"/>
      <c r="B353" s="2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4" t="n"/>
      <c r="S353" s="1" t="n"/>
      <c r="T353" s="1" t="n"/>
      <c r="U353" s="1" t="n"/>
      <c r="V353" s="2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M353" s="1" t="n"/>
      <c r="AW353" s="1" t="n"/>
    </row>
    <row r="354" ht="20.25" customHeight="1">
      <c r="A354" s="1" t="n"/>
      <c r="B354" s="2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4" t="n"/>
      <c r="S354" s="1" t="n"/>
      <c r="T354" s="1" t="n"/>
      <c r="U354" s="1" t="n"/>
      <c r="V354" s="2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M354" s="1" t="n"/>
      <c r="AW354" s="1" t="n"/>
    </row>
    <row r="355" ht="20.25" customHeight="1">
      <c r="A355" s="1" t="n"/>
      <c r="B355" s="2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4" t="n"/>
      <c r="S355" s="1" t="n"/>
      <c r="T355" s="1" t="n"/>
      <c r="U355" s="1" t="n"/>
      <c r="V355" s="2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M355" s="1" t="n"/>
      <c r="AW355" s="1" t="n"/>
    </row>
    <row r="356" ht="20.25" customHeight="1">
      <c r="A356" s="1" t="n"/>
      <c r="B356" s="2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4" t="n"/>
      <c r="S356" s="1" t="n"/>
      <c r="T356" s="1" t="n"/>
      <c r="U356" s="1" t="n"/>
      <c r="V356" s="2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M356" s="1" t="n"/>
      <c r="AW356" s="1" t="n"/>
    </row>
    <row r="357" ht="20.25" customHeight="1">
      <c r="A357" s="1" t="n"/>
      <c r="B357" s="2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4" t="n"/>
      <c r="S357" s="1" t="n"/>
      <c r="T357" s="1" t="n"/>
      <c r="U357" s="1" t="n"/>
      <c r="V357" s="2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M357" s="1" t="n"/>
      <c r="AW357" s="1" t="n"/>
    </row>
    <row r="358" ht="20.25" customHeight="1">
      <c r="A358" s="1" t="n"/>
      <c r="B358" s="2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4" t="n"/>
      <c r="S358" s="1" t="n"/>
      <c r="T358" s="1" t="n"/>
      <c r="U358" s="1" t="n"/>
      <c r="V358" s="2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M358" s="1" t="n"/>
      <c r="AW358" s="1" t="n"/>
    </row>
    <row r="359" ht="20.25" customHeight="1">
      <c r="A359" s="1" t="n"/>
      <c r="B359" s="2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4" t="n"/>
      <c r="S359" s="1" t="n"/>
      <c r="T359" s="1" t="n"/>
      <c r="U359" s="1" t="n"/>
      <c r="V359" s="2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M359" s="1" t="n"/>
      <c r="AW359" s="1" t="n"/>
    </row>
    <row r="360" ht="20.25" customHeight="1">
      <c r="A360" s="1" t="n"/>
      <c r="B360" s="2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4" t="n"/>
      <c r="S360" s="1" t="n"/>
      <c r="T360" s="1" t="n"/>
      <c r="U360" s="1" t="n"/>
      <c r="V360" s="2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M360" s="1" t="n"/>
      <c r="AW360" s="1" t="n"/>
    </row>
    <row r="361" ht="20.25" customHeight="1">
      <c r="A361" s="1" t="n"/>
      <c r="B361" s="2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4" t="n"/>
      <c r="S361" s="1" t="n"/>
      <c r="T361" s="1" t="n"/>
      <c r="U361" s="1" t="n"/>
      <c r="V361" s="2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M361" s="1" t="n"/>
      <c r="AW361" s="1" t="n"/>
    </row>
    <row r="362" ht="20.25" customHeight="1">
      <c r="A362" s="1" t="n"/>
      <c r="B362" s="2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4" t="n"/>
      <c r="S362" s="1" t="n"/>
      <c r="T362" s="1" t="n"/>
      <c r="U362" s="1" t="n"/>
      <c r="V362" s="2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M362" s="1" t="n"/>
      <c r="AW362" s="1" t="n"/>
    </row>
    <row r="363" ht="20.25" customHeight="1">
      <c r="A363" s="1" t="n"/>
      <c r="B363" s="2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4" t="n"/>
      <c r="S363" s="1" t="n"/>
      <c r="T363" s="1" t="n"/>
      <c r="U363" s="1" t="n"/>
      <c r="V363" s="2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M363" s="1" t="n"/>
      <c r="AW363" s="1" t="n"/>
    </row>
    <row r="364" ht="20.25" customHeight="1">
      <c r="A364" s="1" t="n"/>
      <c r="B364" s="2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4" t="n"/>
      <c r="S364" s="1" t="n"/>
      <c r="T364" s="1" t="n"/>
      <c r="U364" s="1" t="n"/>
      <c r="V364" s="2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M364" s="1" t="n"/>
      <c r="AW364" s="1" t="n"/>
    </row>
    <row r="365" ht="20.25" customHeight="1">
      <c r="A365" s="1" t="n"/>
      <c r="B365" s="2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4" t="n"/>
      <c r="S365" s="1" t="n"/>
      <c r="T365" s="1" t="n"/>
      <c r="U365" s="1" t="n"/>
      <c r="V365" s="2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M365" s="1" t="n"/>
      <c r="AW365" s="1" t="n"/>
    </row>
    <row r="366" ht="20.25" customHeight="1">
      <c r="A366" s="1" t="n"/>
      <c r="B366" s="2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4" t="n"/>
      <c r="S366" s="1" t="n"/>
      <c r="T366" s="1" t="n"/>
      <c r="U366" s="1" t="n"/>
      <c r="V366" s="2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M366" s="1" t="n"/>
      <c r="AW366" s="1" t="n"/>
    </row>
    <row r="367" ht="20.25" customHeight="1">
      <c r="A367" s="1" t="n"/>
      <c r="B367" s="2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4" t="n"/>
      <c r="S367" s="1" t="n"/>
      <c r="T367" s="1" t="n"/>
      <c r="U367" s="1" t="n"/>
      <c r="V367" s="2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M367" s="1" t="n"/>
      <c r="AW367" s="1" t="n"/>
    </row>
    <row r="368" ht="20.25" customHeight="1">
      <c r="A368" s="1" t="n"/>
      <c r="B368" s="2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4" t="n"/>
      <c r="S368" s="1" t="n"/>
      <c r="T368" s="1" t="n"/>
      <c r="U368" s="1" t="n"/>
      <c r="V368" s="2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M368" s="1" t="n"/>
      <c r="AW368" s="1" t="n"/>
    </row>
    <row r="369" ht="20.25" customHeight="1">
      <c r="A369" s="1" t="n"/>
      <c r="B369" s="2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4" t="n"/>
      <c r="S369" s="1" t="n"/>
      <c r="T369" s="1" t="n"/>
      <c r="U369" s="1" t="n"/>
      <c r="V369" s="2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M369" s="1" t="n"/>
      <c r="AW369" s="1" t="n"/>
    </row>
    <row r="370" ht="20.25" customHeight="1">
      <c r="A370" s="1" t="n"/>
      <c r="B370" s="2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4" t="n"/>
      <c r="S370" s="1" t="n"/>
      <c r="T370" s="1" t="n"/>
      <c r="U370" s="1" t="n"/>
      <c r="V370" s="2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M370" s="1" t="n"/>
      <c r="AW370" s="1" t="n"/>
    </row>
    <row r="371" ht="20.25" customHeight="1">
      <c r="A371" s="1" t="n"/>
      <c r="B371" s="2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4" t="n"/>
      <c r="S371" s="1" t="n"/>
      <c r="T371" s="1" t="n"/>
      <c r="U371" s="1" t="n"/>
      <c r="V371" s="2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M371" s="1" t="n"/>
      <c r="AW371" s="1" t="n"/>
    </row>
    <row r="372" ht="20.25" customHeight="1">
      <c r="A372" s="1" t="n"/>
      <c r="B372" s="2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4" t="n"/>
      <c r="S372" s="1" t="n"/>
      <c r="T372" s="1" t="n"/>
      <c r="U372" s="1" t="n"/>
      <c r="V372" s="2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M372" s="1" t="n"/>
      <c r="AW372" s="1" t="n"/>
    </row>
    <row r="373" ht="20.25" customHeight="1">
      <c r="A373" s="1" t="n"/>
      <c r="B373" s="2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4" t="n"/>
      <c r="S373" s="1" t="n"/>
      <c r="T373" s="1" t="n"/>
      <c r="U373" s="1" t="n"/>
      <c r="V373" s="2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M373" s="1" t="n"/>
      <c r="AW373" s="1" t="n"/>
    </row>
    <row r="374" ht="20.25" customHeight="1">
      <c r="A374" s="1" t="n"/>
      <c r="B374" s="2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4" t="n"/>
      <c r="S374" s="1" t="n"/>
      <c r="T374" s="1" t="n"/>
      <c r="U374" s="1" t="n"/>
      <c r="V374" s="2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M374" s="1" t="n"/>
      <c r="AW374" s="1" t="n"/>
    </row>
    <row r="375" ht="20.25" customHeight="1">
      <c r="A375" s="1" t="n"/>
      <c r="B375" s="2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4" t="n"/>
      <c r="S375" s="1" t="n"/>
      <c r="T375" s="1" t="n"/>
      <c r="U375" s="1" t="n"/>
      <c r="V375" s="2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M375" s="1" t="n"/>
      <c r="AW375" s="1" t="n"/>
    </row>
    <row r="376" ht="20.25" customHeight="1">
      <c r="A376" s="1" t="n"/>
      <c r="B376" s="2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4" t="n"/>
      <c r="S376" s="1" t="n"/>
      <c r="T376" s="1" t="n"/>
      <c r="U376" s="1" t="n"/>
      <c r="V376" s="2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M376" s="1" t="n"/>
      <c r="AW376" s="1" t="n"/>
    </row>
    <row r="377" ht="20.25" customHeight="1">
      <c r="A377" s="1" t="n"/>
      <c r="B377" s="2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4" t="n"/>
      <c r="S377" s="1" t="n"/>
      <c r="T377" s="1" t="n"/>
      <c r="U377" s="1" t="n"/>
      <c r="V377" s="2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M377" s="1" t="n"/>
      <c r="AW377" s="1" t="n"/>
    </row>
    <row r="378" ht="20.25" customHeight="1">
      <c r="A378" s="1" t="n"/>
      <c r="B378" s="2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4" t="n"/>
      <c r="S378" s="1" t="n"/>
      <c r="T378" s="1" t="n"/>
      <c r="U378" s="1" t="n"/>
      <c r="V378" s="2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M378" s="1" t="n"/>
      <c r="AW378" s="1" t="n"/>
    </row>
    <row r="379" ht="20.25" customHeight="1">
      <c r="A379" s="1" t="n"/>
      <c r="B379" s="2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4" t="n"/>
      <c r="S379" s="1" t="n"/>
      <c r="T379" s="1" t="n"/>
      <c r="U379" s="1" t="n"/>
      <c r="V379" s="2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M379" s="1" t="n"/>
      <c r="AW379" s="1" t="n"/>
    </row>
    <row r="380" ht="20.25" customHeight="1">
      <c r="A380" s="1" t="n"/>
      <c r="B380" s="2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4" t="n"/>
      <c r="S380" s="1" t="n"/>
      <c r="T380" s="1" t="n"/>
      <c r="U380" s="1" t="n"/>
      <c r="V380" s="2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M380" s="1" t="n"/>
      <c r="AW380" s="1" t="n"/>
    </row>
    <row r="381" ht="20.25" customHeight="1">
      <c r="A381" s="1" t="n"/>
      <c r="B381" s="2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4" t="n"/>
      <c r="S381" s="1" t="n"/>
      <c r="T381" s="1" t="n"/>
      <c r="U381" s="1" t="n"/>
      <c r="V381" s="2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M381" s="1" t="n"/>
      <c r="AW381" s="1" t="n"/>
    </row>
    <row r="382" ht="20.25" customHeight="1">
      <c r="A382" s="1" t="n"/>
      <c r="B382" s="2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4" t="n"/>
      <c r="S382" s="1" t="n"/>
      <c r="T382" s="1" t="n"/>
      <c r="U382" s="1" t="n"/>
      <c r="V382" s="2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M382" s="1" t="n"/>
      <c r="AW382" s="1" t="n"/>
    </row>
    <row r="383" ht="20.25" customHeight="1">
      <c r="A383" s="1" t="n"/>
      <c r="B383" s="2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4" t="n"/>
      <c r="S383" s="1" t="n"/>
      <c r="T383" s="1" t="n"/>
      <c r="U383" s="1" t="n"/>
      <c r="V383" s="2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M383" s="1" t="n"/>
      <c r="AW383" s="1" t="n"/>
    </row>
    <row r="384" ht="20.25" customHeight="1">
      <c r="A384" s="1" t="n"/>
      <c r="B384" s="2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4" t="n"/>
      <c r="S384" s="1" t="n"/>
      <c r="T384" s="1" t="n"/>
      <c r="U384" s="1" t="n"/>
      <c r="V384" s="2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M384" s="1" t="n"/>
      <c r="AW384" s="1" t="n"/>
    </row>
    <row r="385" ht="20.25" customHeight="1">
      <c r="A385" s="1" t="n"/>
      <c r="B385" s="2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4" t="n"/>
      <c r="S385" s="1" t="n"/>
      <c r="T385" s="1" t="n"/>
      <c r="U385" s="1" t="n"/>
      <c r="V385" s="2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M385" s="1" t="n"/>
      <c r="AW385" s="1" t="n"/>
    </row>
    <row r="386" ht="20.25" customHeight="1">
      <c r="A386" s="1" t="n"/>
      <c r="B386" s="2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4" t="n"/>
      <c r="S386" s="1" t="n"/>
      <c r="T386" s="1" t="n"/>
      <c r="U386" s="1" t="n"/>
      <c r="V386" s="2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M386" s="1" t="n"/>
      <c r="AW386" s="1" t="n"/>
    </row>
    <row r="387" ht="20.25" customHeight="1">
      <c r="A387" s="1" t="n"/>
      <c r="B387" s="2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4" t="n"/>
      <c r="S387" s="1" t="n"/>
      <c r="T387" s="1" t="n"/>
      <c r="U387" s="1" t="n"/>
      <c r="V387" s="2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M387" s="1" t="n"/>
      <c r="AW387" s="1" t="n"/>
    </row>
    <row r="388" ht="20.25" customHeight="1">
      <c r="A388" s="1" t="n"/>
      <c r="B388" s="2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4" t="n"/>
      <c r="S388" s="1" t="n"/>
      <c r="T388" s="1" t="n"/>
      <c r="U388" s="1" t="n"/>
      <c r="V388" s="2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M388" s="1" t="n"/>
      <c r="AW388" s="1" t="n"/>
    </row>
    <row r="389" ht="20.25" customHeight="1">
      <c r="A389" s="1" t="n"/>
      <c r="B389" s="2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4" t="n"/>
      <c r="S389" s="1" t="n"/>
      <c r="T389" s="1" t="n"/>
      <c r="U389" s="1" t="n"/>
      <c r="V389" s="2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M389" s="1" t="n"/>
      <c r="AW389" s="1" t="n"/>
    </row>
    <row r="390" ht="20.25" customHeight="1">
      <c r="A390" s="1" t="n"/>
      <c r="B390" s="2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4" t="n"/>
      <c r="S390" s="1" t="n"/>
      <c r="T390" s="1" t="n"/>
      <c r="U390" s="1" t="n"/>
      <c r="V390" s="2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M390" s="1" t="n"/>
      <c r="AW390" s="1" t="n"/>
    </row>
    <row r="391" ht="20.25" customHeight="1">
      <c r="A391" s="1" t="n"/>
      <c r="B391" s="2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4" t="n"/>
      <c r="S391" s="1" t="n"/>
      <c r="T391" s="1" t="n"/>
      <c r="U391" s="1" t="n"/>
      <c r="V391" s="2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M391" s="1" t="n"/>
      <c r="AW391" s="1" t="n"/>
    </row>
    <row r="392" ht="20.25" customHeight="1">
      <c r="A392" s="1" t="n"/>
      <c r="B392" s="2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4" t="n"/>
      <c r="S392" s="1" t="n"/>
      <c r="T392" s="1" t="n"/>
      <c r="U392" s="1" t="n"/>
      <c r="V392" s="2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M392" s="1" t="n"/>
      <c r="AW392" s="1" t="n"/>
    </row>
    <row r="393" ht="20.25" customHeight="1">
      <c r="A393" s="1" t="n"/>
      <c r="B393" s="2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4" t="n"/>
      <c r="S393" s="1" t="n"/>
      <c r="T393" s="1" t="n"/>
      <c r="U393" s="1" t="n"/>
      <c r="V393" s="2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M393" s="1" t="n"/>
      <c r="AW393" s="1" t="n"/>
    </row>
    <row r="394" ht="20.25" customHeight="1">
      <c r="A394" s="1" t="n"/>
      <c r="B394" s="2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4" t="n"/>
      <c r="S394" s="1" t="n"/>
      <c r="T394" s="1" t="n"/>
      <c r="U394" s="1" t="n"/>
      <c r="V394" s="2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M394" s="1" t="n"/>
      <c r="AW394" s="1" t="n"/>
    </row>
    <row r="395" ht="20.25" customHeight="1">
      <c r="A395" s="1" t="n"/>
      <c r="B395" s="2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4" t="n"/>
      <c r="S395" s="1" t="n"/>
      <c r="T395" s="1" t="n"/>
      <c r="U395" s="1" t="n"/>
      <c r="V395" s="2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M395" s="1" t="n"/>
      <c r="AW395" s="1" t="n"/>
    </row>
    <row r="396" ht="20.25" customHeight="1">
      <c r="A396" s="1" t="n"/>
      <c r="B396" s="2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4" t="n"/>
      <c r="S396" s="1" t="n"/>
      <c r="T396" s="1" t="n"/>
      <c r="U396" s="1" t="n"/>
      <c r="V396" s="2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M396" s="1" t="n"/>
      <c r="AW396" s="1" t="n"/>
    </row>
    <row r="397" ht="20.25" customHeight="1">
      <c r="A397" s="1" t="n"/>
      <c r="B397" s="2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4" t="n"/>
      <c r="S397" s="1" t="n"/>
      <c r="T397" s="1" t="n"/>
      <c r="U397" s="1" t="n"/>
      <c r="V397" s="2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M397" s="1" t="n"/>
      <c r="AW397" s="1" t="n"/>
    </row>
    <row r="398" ht="20.25" customHeight="1">
      <c r="A398" s="1" t="n"/>
      <c r="B398" s="2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4" t="n"/>
      <c r="S398" s="1" t="n"/>
      <c r="T398" s="1" t="n"/>
      <c r="U398" s="1" t="n"/>
      <c r="V398" s="2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M398" s="1" t="n"/>
      <c r="AW398" s="1" t="n"/>
    </row>
    <row r="399" ht="20.25" customHeight="1">
      <c r="A399" s="1" t="n"/>
      <c r="B399" s="2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4" t="n"/>
      <c r="S399" s="1" t="n"/>
      <c r="T399" s="1" t="n"/>
      <c r="U399" s="1" t="n"/>
      <c r="V399" s="2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M399" s="1" t="n"/>
      <c r="AW399" s="1" t="n"/>
    </row>
    <row r="400" ht="20.25" customHeight="1">
      <c r="A400" s="1" t="n"/>
      <c r="B400" s="2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4" t="n"/>
      <c r="S400" s="1" t="n"/>
      <c r="T400" s="1" t="n"/>
      <c r="U400" s="1" t="n"/>
      <c r="V400" s="2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M400" s="1" t="n"/>
      <c r="AW400" s="1" t="n"/>
    </row>
    <row r="401" ht="20.25" customHeight="1">
      <c r="A401" s="1" t="n"/>
      <c r="B401" s="2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4" t="n"/>
      <c r="S401" s="1" t="n"/>
      <c r="T401" s="1" t="n"/>
      <c r="U401" s="1" t="n"/>
      <c r="V401" s="2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M401" s="1" t="n"/>
      <c r="AW401" s="1" t="n"/>
    </row>
    <row r="402" ht="20.25" customHeight="1">
      <c r="A402" s="1" t="n"/>
      <c r="B402" s="2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4" t="n"/>
      <c r="S402" s="1" t="n"/>
      <c r="T402" s="1" t="n"/>
      <c r="U402" s="1" t="n"/>
      <c r="V402" s="2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M402" s="1" t="n"/>
      <c r="AW402" s="1" t="n"/>
    </row>
    <row r="403" ht="20.25" customHeight="1">
      <c r="A403" s="1" t="n"/>
      <c r="B403" s="2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4" t="n"/>
      <c r="S403" s="1" t="n"/>
      <c r="T403" s="1" t="n"/>
      <c r="U403" s="1" t="n"/>
      <c r="V403" s="2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M403" s="1" t="n"/>
      <c r="AW403" s="1" t="n"/>
    </row>
    <row r="404" ht="20.25" customHeight="1">
      <c r="A404" s="1" t="n"/>
      <c r="B404" s="2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4" t="n"/>
      <c r="S404" s="1" t="n"/>
      <c r="T404" s="1" t="n"/>
      <c r="U404" s="1" t="n"/>
      <c r="V404" s="2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M404" s="1" t="n"/>
      <c r="AW404" s="1" t="n"/>
    </row>
    <row r="405" ht="20.25" customHeight="1">
      <c r="A405" s="1" t="n"/>
      <c r="B405" s="2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4" t="n"/>
      <c r="S405" s="1" t="n"/>
      <c r="T405" s="1" t="n"/>
      <c r="U405" s="1" t="n"/>
      <c r="V405" s="2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M405" s="1" t="n"/>
      <c r="AW405" s="1" t="n"/>
    </row>
    <row r="406" ht="20.25" customHeight="1">
      <c r="A406" s="1" t="n"/>
      <c r="B406" s="2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4" t="n"/>
      <c r="S406" s="1" t="n"/>
      <c r="T406" s="1" t="n"/>
      <c r="U406" s="1" t="n"/>
      <c r="V406" s="2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M406" s="1" t="n"/>
      <c r="AW406" s="1" t="n"/>
    </row>
    <row r="407" ht="20.25" customHeight="1">
      <c r="A407" s="1" t="n"/>
      <c r="B407" s="2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4" t="n"/>
      <c r="S407" s="1" t="n"/>
      <c r="T407" s="1" t="n"/>
      <c r="U407" s="1" t="n"/>
      <c r="V407" s="2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M407" s="1" t="n"/>
      <c r="AW407" s="1" t="n"/>
    </row>
    <row r="408" ht="20.25" customHeight="1">
      <c r="A408" s="1" t="n"/>
      <c r="B408" s="2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4" t="n"/>
      <c r="S408" s="1" t="n"/>
      <c r="T408" s="1" t="n"/>
      <c r="U408" s="1" t="n"/>
      <c r="V408" s="2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M408" s="1" t="n"/>
      <c r="AW408" s="1" t="n"/>
    </row>
    <row r="409" ht="20.25" customHeight="1">
      <c r="A409" s="1" t="n"/>
      <c r="B409" s="2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4" t="n"/>
      <c r="S409" s="1" t="n"/>
      <c r="T409" s="1" t="n"/>
      <c r="U409" s="1" t="n"/>
      <c r="V409" s="2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M409" s="1" t="n"/>
      <c r="AW409" s="1" t="n"/>
    </row>
    <row r="410" ht="20.25" customHeight="1">
      <c r="A410" s="1" t="n"/>
      <c r="B410" s="2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4" t="n"/>
      <c r="S410" s="1" t="n"/>
      <c r="T410" s="1" t="n"/>
      <c r="U410" s="1" t="n"/>
      <c r="V410" s="2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M410" s="1" t="n"/>
      <c r="AW410" s="1" t="n"/>
    </row>
    <row r="411" ht="20.25" customHeight="1">
      <c r="A411" s="1" t="n"/>
      <c r="B411" s="2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4" t="n"/>
      <c r="S411" s="1" t="n"/>
      <c r="T411" s="1" t="n"/>
      <c r="U411" s="1" t="n"/>
      <c r="V411" s="2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M411" s="1" t="n"/>
      <c r="AW411" s="1" t="n"/>
    </row>
    <row r="412" ht="20.25" customHeight="1">
      <c r="A412" s="1" t="n"/>
      <c r="B412" s="2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4" t="n"/>
      <c r="S412" s="1" t="n"/>
      <c r="T412" s="1" t="n"/>
      <c r="U412" s="1" t="n"/>
      <c r="V412" s="2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M412" s="1" t="n"/>
      <c r="AW412" s="1" t="n"/>
    </row>
    <row r="413" ht="20.25" customHeight="1">
      <c r="A413" s="1" t="n"/>
      <c r="B413" s="2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4" t="n"/>
      <c r="S413" s="1" t="n"/>
      <c r="T413" s="1" t="n"/>
      <c r="U413" s="1" t="n"/>
      <c r="V413" s="2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M413" s="1" t="n"/>
      <c r="AW413" s="1" t="n"/>
    </row>
    <row r="414" ht="20.25" customHeight="1">
      <c r="A414" s="1" t="n"/>
      <c r="B414" s="2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4" t="n"/>
      <c r="S414" s="1" t="n"/>
      <c r="T414" s="1" t="n"/>
      <c r="U414" s="1" t="n"/>
      <c r="V414" s="2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M414" s="1" t="n"/>
      <c r="AW414" s="1" t="n"/>
    </row>
    <row r="415" ht="20.25" customHeight="1">
      <c r="A415" s="1" t="n"/>
      <c r="B415" s="2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4" t="n"/>
      <c r="S415" s="1" t="n"/>
      <c r="T415" s="1" t="n"/>
      <c r="U415" s="1" t="n"/>
      <c r="V415" s="2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M415" s="1" t="n"/>
      <c r="AW415" s="1" t="n"/>
    </row>
    <row r="416" ht="20.25" customHeight="1">
      <c r="A416" s="1" t="n"/>
      <c r="B416" s="2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4" t="n"/>
      <c r="S416" s="1" t="n"/>
      <c r="T416" s="1" t="n"/>
      <c r="U416" s="1" t="n"/>
      <c r="V416" s="2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M416" s="1" t="n"/>
      <c r="AW416" s="1" t="n"/>
    </row>
    <row r="417" ht="20.25" customHeight="1">
      <c r="A417" s="1" t="n"/>
      <c r="B417" s="2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4" t="n"/>
      <c r="S417" s="1" t="n"/>
      <c r="T417" s="1" t="n"/>
      <c r="U417" s="1" t="n"/>
      <c r="V417" s="2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M417" s="1" t="n"/>
      <c r="AW417" s="1" t="n"/>
    </row>
    <row r="418" ht="20.25" customHeight="1">
      <c r="A418" s="1" t="n"/>
      <c r="B418" s="2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4" t="n"/>
      <c r="S418" s="1" t="n"/>
      <c r="T418" s="1" t="n"/>
      <c r="U418" s="1" t="n"/>
      <c r="V418" s="2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M418" s="1" t="n"/>
      <c r="AW418" s="1" t="n"/>
    </row>
    <row r="419" ht="20.25" customHeight="1">
      <c r="A419" s="1" t="n"/>
      <c r="B419" s="2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4" t="n"/>
      <c r="S419" s="1" t="n"/>
      <c r="T419" s="1" t="n"/>
      <c r="U419" s="1" t="n"/>
      <c r="V419" s="2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M419" s="1" t="n"/>
      <c r="AW419" s="1" t="n"/>
    </row>
    <row r="420" ht="20.25" customHeight="1">
      <c r="A420" s="1" t="n"/>
      <c r="B420" s="2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4" t="n"/>
      <c r="S420" s="1" t="n"/>
      <c r="T420" s="1" t="n"/>
      <c r="U420" s="1" t="n"/>
      <c r="V420" s="2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M420" s="1" t="n"/>
      <c r="AW420" s="1" t="n"/>
    </row>
    <row r="421" ht="20.25" customHeight="1">
      <c r="A421" s="1" t="n"/>
      <c r="B421" s="2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4" t="n"/>
      <c r="S421" s="1" t="n"/>
      <c r="T421" s="1" t="n"/>
      <c r="U421" s="1" t="n"/>
      <c r="V421" s="2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M421" s="1" t="n"/>
      <c r="AW421" s="1" t="n"/>
    </row>
    <row r="422" ht="20.25" customHeight="1">
      <c r="A422" s="1" t="n"/>
      <c r="B422" s="2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4" t="n"/>
      <c r="S422" s="1" t="n"/>
      <c r="T422" s="1" t="n"/>
      <c r="U422" s="1" t="n"/>
      <c r="V422" s="2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M422" s="1" t="n"/>
      <c r="AW422" s="1" t="n"/>
    </row>
    <row r="423" ht="20.25" customHeight="1">
      <c r="A423" s="1" t="n"/>
      <c r="B423" s="2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4" t="n"/>
      <c r="S423" s="1" t="n"/>
      <c r="T423" s="1" t="n"/>
      <c r="U423" s="1" t="n"/>
      <c r="V423" s="2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M423" s="1" t="n"/>
      <c r="AW423" s="1" t="n"/>
    </row>
    <row r="424" ht="20.25" customHeight="1">
      <c r="A424" s="1" t="n"/>
      <c r="B424" s="2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4" t="n"/>
      <c r="S424" s="1" t="n"/>
      <c r="T424" s="1" t="n"/>
      <c r="U424" s="1" t="n"/>
      <c r="V424" s="2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M424" s="1" t="n"/>
      <c r="AW424" s="1" t="n"/>
    </row>
    <row r="425" ht="20.25" customHeight="1">
      <c r="A425" s="1" t="n"/>
      <c r="B425" s="2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4" t="n"/>
      <c r="S425" s="1" t="n"/>
      <c r="T425" s="1" t="n"/>
      <c r="U425" s="1" t="n"/>
      <c r="V425" s="2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M425" s="1" t="n"/>
      <c r="AW425" s="1" t="n"/>
    </row>
    <row r="426" ht="20.25" customHeight="1">
      <c r="A426" s="1" t="n"/>
      <c r="B426" s="2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4" t="n"/>
      <c r="S426" s="1" t="n"/>
      <c r="T426" s="1" t="n"/>
      <c r="U426" s="1" t="n"/>
      <c r="V426" s="2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M426" s="1" t="n"/>
      <c r="AW426" s="1" t="n"/>
    </row>
    <row r="427" ht="20.25" customHeight="1">
      <c r="A427" s="1" t="n"/>
      <c r="B427" s="2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4" t="n"/>
      <c r="S427" s="1" t="n"/>
      <c r="T427" s="1" t="n"/>
      <c r="U427" s="1" t="n"/>
      <c r="V427" s="2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M427" s="1" t="n"/>
      <c r="AW427" s="1" t="n"/>
    </row>
    <row r="428" ht="20.25" customHeight="1">
      <c r="A428" s="1" t="n"/>
      <c r="B428" s="2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4" t="n"/>
      <c r="S428" s="1" t="n"/>
      <c r="T428" s="1" t="n"/>
      <c r="U428" s="1" t="n"/>
      <c r="V428" s="2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M428" s="1" t="n"/>
      <c r="AW428" s="1" t="n"/>
    </row>
    <row r="429" ht="20.25" customHeight="1">
      <c r="A429" s="1" t="n"/>
      <c r="B429" s="2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4" t="n"/>
      <c r="S429" s="1" t="n"/>
      <c r="T429" s="1" t="n"/>
      <c r="U429" s="1" t="n"/>
      <c r="V429" s="2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M429" s="1" t="n"/>
      <c r="AW429" s="1" t="n"/>
    </row>
    <row r="430" ht="20.25" customHeight="1">
      <c r="A430" s="1" t="n"/>
      <c r="B430" s="2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4" t="n"/>
      <c r="S430" s="1" t="n"/>
      <c r="T430" s="1" t="n"/>
      <c r="U430" s="1" t="n"/>
      <c r="V430" s="2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M430" s="1" t="n"/>
      <c r="AW430" s="1" t="n"/>
    </row>
    <row r="431" ht="20.25" customHeight="1">
      <c r="A431" s="1" t="n"/>
      <c r="B431" s="2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4" t="n"/>
      <c r="S431" s="1" t="n"/>
      <c r="T431" s="1" t="n"/>
      <c r="U431" s="1" t="n"/>
      <c r="V431" s="2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M431" s="1" t="n"/>
      <c r="AW431" s="1" t="n"/>
    </row>
    <row r="432" ht="20.25" customHeight="1">
      <c r="A432" s="1" t="n"/>
      <c r="B432" s="2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4" t="n"/>
      <c r="S432" s="1" t="n"/>
      <c r="T432" s="1" t="n"/>
      <c r="U432" s="1" t="n"/>
      <c r="V432" s="2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M432" s="1" t="n"/>
      <c r="AW432" s="1" t="n"/>
    </row>
    <row r="433" ht="20.25" customHeight="1">
      <c r="A433" s="1" t="n"/>
      <c r="B433" s="2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4" t="n"/>
      <c r="S433" s="1" t="n"/>
      <c r="T433" s="1" t="n"/>
      <c r="U433" s="1" t="n"/>
      <c r="V433" s="2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M433" s="1" t="n"/>
      <c r="AW433" s="1" t="n"/>
    </row>
    <row r="434" ht="20.25" customHeight="1">
      <c r="A434" s="1" t="n"/>
      <c r="B434" s="2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4" t="n"/>
      <c r="S434" s="1" t="n"/>
      <c r="T434" s="1" t="n"/>
      <c r="U434" s="1" t="n"/>
      <c r="V434" s="2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M434" s="1" t="n"/>
      <c r="AW434" s="1" t="n"/>
    </row>
    <row r="435" ht="20.25" customHeight="1">
      <c r="A435" s="1" t="n"/>
      <c r="B435" s="2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4" t="n"/>
      <c r="S435" s="1" t="n"/>
      <c r="T435" s="1" t="n"/>
      <c r="U435" s="1" t="n"/>
      <c r="V435" s="2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M435" s="1" t="n"/>
      <c r="AW435" s="1" t="n"/>
    </row>
    <row r="436" ht="20.25" customHeight="1">
      <c r="A436" s="1" t="n"/>
      <c r="B436" s="2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4" t="n"/>
      <c r="S436" s="1" t="n"/>
      <c r="T436" s="1" t="n"/>
      <c r="U436" s="1" t="n"/>
      <c r="V436" s="2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M436" s="1" t="n"/>
      <c r="AW436" s="1" t="n"/>
    </row>
    <row r="437" ht="20.25" customHeight="1">
      <c r="A437" s="1" t="n"/>
      <c r="B437" s="2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4" t="n"/>
      <c r="S437" s="1" t="n"/>
      <c r="T437" s="1" t="n"/>
      <c r="U437" s="1" t="n"/>
      <c r="V437" s="2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M437" s="1" t="n"/>
      <c r="AW437" s="1" t="n"/>
    </row>
    <row r="438" ht="20.25" customHeight="1">
      <c r="A438" s="1" t="n"/>
      <c r="B438" s="2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4" t="n"/>
      <c r="S438" s="1" t="n"/>
      <c r="T438" s="1" t="n"/>
      <c r="U438" s="1" t="n"/>
      <c r="V438" s="2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M438" s="1" t="n"/>
      <c r="AW438" s="1" t="n"/>
    </row>
    <row r="439" ht="20.25" customHeight="1">
      <c r="A439" s="1" t="n"/>
      <c r="B439" s="2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4" t="n"/>
      <c r="S439" s="1" t="n"/>
      <c r="T439" s="1" t="n"/>
      <c r="U439" s="1" t="n"/>
      <c r="V439" s="2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M439" s="1" t="n"/>
      <c r="AW439" s="1" t="n"/>
    </row>
    <row r="440" ht="20.25" customHeight="1">
      <c r="A440" s="1" t="n"/>
      <c r="B440" s="2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4" t="n"/>
      <c r="S440" s="1" t="n"/>
      <c r="T440" s="1" t="n"/>
      <c r="U440" s="1" t="n"/>
      <c r="V440" s="2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M440" s="1" t="n"/>
      <c r="AW440" s="1" t="n"/>
    </row>
    <row r="441" ht="20.25" customHeight="1">
      <c r="A441" s="1" t="n"/>
      <c r="B441" s="2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4" t="n"/>
      <c r="S441" s="1" t="n"/>
      <c r="T441" s="1" t="n"/>
      <c r="U441" s="1" t="n"/>
      <c r="V441" s="2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M441" s="1" t="n"/>
      <c r="AW441" s="1" t="n"/>
    </row>
    <row r="442" ht="20.25" customHeight="1">
      <c r="A442" s="1" t="n"/>
      <c r="B442" s="2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4" t="n"/>
      <c r="S442" s="1" t="n"/>
      <c r="T442" s="1" t="n"/>
      <c r="U442" s="1" t="n"/>
      <c r="V442" s="2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M442" s="1" t="n"/>
      <c r="AW442" s="1" t="n"/>
    </row>
    <row r="443" ht="20.25" customHeight="1">
      <c r="A443" s="1" t="n"/>
      <c r="B443" s="2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4" t="n"/>
      <c r="S443" s="1" t="n"/>
      <c r="T443" s="1" t="n"/>
      <c r="U443" s="1" t="n"/>
      <c r="V443" s="2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M443" s="1" t="n"/>
      <c r="AW443" s="1" t="n"/>
    </row>
    <row r="444" ht="20.25" customHeight="1">
      <c r="A444" s="1" t="n"/>
      <c r="B444" s="2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4" t="n"/>
      <c r="S444" s="1" t="n"/>
      <c r="T444" s="1" t="n"/>
      <c r="U444" s="1" t="n"/>
      <c r="V444" s="2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M444" s="1" t="n"/>
      <c r="AW444" s="1" t="n"/>
    </row>
    <row r="445" ht="20.25" customHeight="1">
      <c r="A445" s="1" t="n"/>
      <c r="B445" s="2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4" t="n"/>
      <c r="S445" s="1" t="n"/>
      <c r="T445" s="1" t="n"/>
      <c r="U445" s="1" t="n"/>
      <c r="V445" s="2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M445" s="1" t="n"/>
      <c r="AW445" s="1" t="n"/>
    </row>
    <row r="446" ht="20.25" customHeight="1">
      <c r="A446" s="1" t="n"/>
      <c r="B446" s="2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4" t="n"/>
      <c r="S446" s="1" t="n"/>
      <c r="T446" s="1" t="n"/>
      <c r="U446" s="1" t="n"/>
      <c r="V446" s="2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M446" s="1" t="n"/>
      <c r="AW446" s="1" t="n"/>
    </row>
    <row r="447" ht="20.25" customHeight="1">
      <c r="A447" s="1" t="n"/>
      <c r="B447" s="2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4" t="n"/>
      <c r="S447" s="1" t="n"/>
      <c r="T447" s="1" t="n"/>
      <c r="U447" s="1" t="n"/>
      <c r="V447" s="2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M447" s="1" t="n"/>
      <c r="AW447" s="1" t="n"/>
    </row>
    <row r="448" ht="20.25" customHeight="1">
      <c r="A448" s="1" t="n"/>
      <c r="B448" s="2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4" t="n"/>
      <c r="S448" s="1" t="n"/>
      <c r="T448" s="1" t="n"/>
      <c r="U448" s="1" t="n"/>
      <c r="V448" s="2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M448" s="1" t="n"/>
      <c r="AW448" s="1" t="n"/>
    </row>
    <row r="449" ht="20.25" customHeight="1">
      <c r="A449" s="1" t="n"/>
      <c r="B449" s="2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4" t="n"/>
      <c r="S449" s="1" t="n"/>
      <c r="T449" s="1" t="n"/>
      <c r="U449" s="1" t="n"/>
      <c r="V449" s="2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M449" s="1" t="n"/>
      <c r="AW449" s="1" t="n"/>
    </row>
    <row r="450" ht="20.25" customHeight="1">
      <c r="A450" s="1" t="n"/>
      <c r="B450" s="2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4" t="n"/>
      <c r="S450" s="1" t="n"/>
      <c r="T450" s="1" t="n"/>
      <c r="U450" s="1" t="n"/>
      <c r="V450" s="2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M450" s="1" t="n"/>
      <c r="AW450" s="1" t="n"/>
    </row>
    <row r="451" ht="20.25" customHeight="1">
      <c r="A451" s="1" t="n"/>
      <c r="B451" s="2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4" t="n"/>
      <c r="S451" s="1" t="n"/>
      <c r="T451" s="1" t="n"/>
      <c r="U451" s="1" t="n"/>
      <c r="V451" s="2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M451" s="1" t="n"/>
      <c r="AW451" s="1" t="n"/>
    </row>
    <row r="452" ht="20.25" customHeight="1">
      <c r="A452" s="1" t="n"/>
      <c r="B452" s="2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4" t="n"/>
      <c r="S452" s="1" t="n"/>
      <c r="T452" s="1" t="n"/>
      <c r="U452" s="1" t="n"/>
      <c r="V452" s="2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M452" s="1" t="n"/>
      <c r="AW452" s="1" t="n"/>
    </row>
    <row r="453" ht="20.25" customHeight="1">
      <c r="A453" s="1" t="n"/>
      <c r="B453" s="2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4" t="n"/>
      <c r="S453" s="1" t="n"/>
      <c r="T453" s="1" t="n"/>
      <c r="U453" s="1" t="n"/>
      <c r="V453" s="2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M453" s="1" t="n"/>
      <c r="AW453" s="1" t="n"/>
    </row>
    <row r="454" ht="20.25" customHeight="1">
      <c r="A454" s="1" t="n"/>
      <c r="B454" s="2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4" t="n"/>
      <c r="S454" s="1" t="n"/>
      <c r="T454" s="1" t="n"/>
      <c r="U454" s="1" t="n"/>
      <c r="V454" s="2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M454" s="1" t="n"/>
      <c r="AW454" s="1" t="n"/>
    </row>
    <row r="455" ht="20.25" customHeight="1">
      <c r="A455" s="1" t="n"/>
      <c r="B455" s="2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4" t="n"/>
      <c r="S455" s="1" t="n"/>
      <c r="T455" s="1" t="n"/>
      <c r="U455" s="1" t="n"/>
      <c r="V455" s="2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M455" s="1" t="n"/>
      <c r="AW455" s="1" t="n"/>
    </row>
    <row r="456" ht="20.25" customHeight="1">
      <c r="A456" s="1" t="n"/>
      <c r="B456" s="2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4" t="n"/>
      <c r="S456" s="1" t="n"/>
      <c r="T456" s="1" t="n"/>
      <c r="U456" s="1" t="n"/>
      <c r="V456" s="2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M456" s="1" t="n"/>
      <c r="AW456" s="1" t="n"/>
    </row>
    <row r="457" ht="20.25" customHeight="1">
      <c r="A457" s="1" t="n"/>
      <c r="B457" s="2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4" t="n"/>
      <c r="S457" s="1" t="n"/>
      <c r="T457" s="1" t="n"/>
      <c r="U457" s="1" t="n"/>
      <c r="V457" s="2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M457" s="1" t="n"/>
      <c r="AW457" s="1" t="n"/>
    </row>
    <row r="458" ht="20.25" customHeight="1">
      <c r="A458" s="1" t="n"/>
      <c r="B458" s="2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4" t="n"/>
      <c r="S458" s="1" t="n"/>
      <c r="T458" s="1" t="n"/>
      <c r="U458" s="1" t="n"/>
      <c r="V458" s="2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M458" s="1" t="n"/>
      <c r="AW458" s="1" t="n"/>
    </row>
    <row r="459" ht="20.25" customHeight="1">
      <c r="A459" s="1" t="n"/>
      <c r="B459" s="2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4" t="n"/>
      <c r="S459" s="1" t="n"/>
      <c r="T459" s="1" t="n"/>
      <c r="U459" s="1" t="n"/>
      <c r="V459" s="2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M459" s="1" t="n"/>
      <c r="AW459" s="1" t="n"/>
    </row>
    <row r="460" ht="20.25" customHeight="1">
      <c r="A460" s="1" t="n"/>
      <c r="B460" s="2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4" t="n"/>
      <c r="S460" s="1" t="n"/>
      <c r="T460" s="1" t="n"/>
      <c r="U460" s="1" t="n"/>
      <c r="V460" s="2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M460" s="1" t="n"/>
      <c r="AW460" s="1" t="n"/>
    </row>
    <row r="461" ht="20.25" customHeight="1">
      <c r="A461" s="1" t="n"/>
      <c r="B461" s="2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4" t="n"/>
      <c r="S461" s="1" t="n"/>
      <c r="T461" s="1" t="n"/>
      <c r="U461" s="1" t="n"/>
      <c r="V461" s="2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M461" s="1" t="n"/>
      <c r="AW461" s="1" t="n"/>
    </row>
    <row r="462" ht="20.25" customHeight="1">
      <c r="A462" s="1" t="n"/>
      <c r="B462" s="2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4" t="n"/>
      <c r="S462" s="1" t="n"/>
      <c r="T462" s="1" t="n"/>
      <c r="U462" s="1" t="n"/>
      <c r="V462" s="2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M462" s="1" t="n"/>
      <c r="AW462" s="1" t="n"/>
    </row>
    <row r="463" ht="20.25" customHeight="1">
      <c r="A463" s="1" t="n"/>
      <c r="B463" s="2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4" t="n"/>
      <c r="S463" s="1" t="n"/>
      <c r="T463" s="1" t="n"/>
      <c r="U463" s="1" t="n"/>
      <c r="V463" s="2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M463" s="1" t="n"/>
      <c r="AW463" s="1" t="n"/>
    </row>
    <row r="464" ht="20.25" customHeight="1">
      <c r="A464" s="1" t="n"/>
      <c r="B464" s="2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4" t="n"/>
      <c r="S464" s="1" t="n"/>
      <c r="T464" s="1" t="n"/>
      <c r="U464" s="1" t="n"/>
      <c r="V464" s="2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M464" s="1" t="n"/>
      <c r="AW464" s="1" t="n"/>
    </row>
    <row r="465" ht="20.25" customHeight="1">
      <c r="A465" s="1" t="n"/>
      <c r="B465" s="2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4" t="n"/>
      <c r="S465" s="1" t="n"/>
      <c r="T465" s="1" t="n"/>
      <c r="U465" s="1" t="n"/>
      <c r="V465" s="2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M465" s="1" t="n"/>
      <c r="AW465" s="1" t="n"/>
    </row>
    <row r="466" ht="20.25" customHeight="1">
      <c r="A466" s="1" t="n"/>
      <c r="B466" s="2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4" t="n"/>
      <c r="S466" s="1" t="n"/>
      <c r="T466" s="1" t="n"/>
      <c r="U466" s="1" t="n"/>
      <c r="V466" s="2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M466" s="1" t="n"/>
      <c r="AW466" s="1" t="n"/>
    </row>
    <row r="467" ht="20.25" customHeight="1">
      <c r="A467" s="1" t="n"/>
      <c r="B467" s="2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4" t="n"/>
      <c r="S467" s="1" t="n"/>
      <c r="T467" s="1" t="n"/>
      <c r="U467" s="1" t="n"/>
      <c r="V467" s="2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M467" s="1" t="n"/>
      <c r="AW467" s="1" t="n"/>
    </row>
    <row r="468" ht="20.25" customHeight="1">
      <c r="A468" s="1" t="n"/>
      <c r="B468" s="2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4" t="n"/>
      <c r="S468" s="1" t="n"/>
      <c r="T468" s="1" t="n"/>
      <c r="U468" s="1" t="n"/>
      <c r="V468" s="2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M468" s="1" t="n"/>
      <c r="AW468" s="1" t="n"/>
    </row>
    <row r="469" ht="20.25" customHeight="1">
      <c r="A469" s="1" t="n"/>
      <c r="B469" s="2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4" t="n"/>
      <c r="S469" s="1" t="n"/>
      <c r="T469" s="1" t="n"/>
      <c r="U469" s="1" t="n"/>
      <c r="V469" s="2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M469" s="1" t="n"/>
      <c r="AW469" s="1" t="n"/>
    </row>
    <row r="470" ht="20.25" customHeight="1">
      <c r="A470" s="1" t="n"/>
      <c r="B470" s="2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4" t="n"/>
      <c r="S470" s="1" t="n"/>
      <c r="T470" s="1" t="n"/>
      <c r="U470" s="1" t="n"/>
      <c r="V470" s="2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M470" s="1" t="n"/>
      <c r="AW470" s="1" t="n"/>
    </row>
    <row r="471" ht="20.25" customHeight="1">
      <c r="A471" s="1" t="n"/>
      <c r="B471" s="2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4" t="n"/>
      <c r="S471" s="1" t="n"/>
      <c r="T471" s="1" t="n"/>
      <c r="U471" s="1" t="n"/>
      <c r="V471" s="2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M471" s="1" t="n"/>
      <c r="AW471" s="1" t="n"/>
    </row>
    <row r="472" ht="20.25" customHeight="1">
      <c r="A472" s="1" t="n"/>
      <c r="B472" s="2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4" t="n"/>
      <c r="S472" s="1" t="n"/>
      <c r="T472" s="1" t="n"/>
      <c r="U472" s="1" t="n"/>
      <c r="V472" s="2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M472" s="1" t="n"/>
      <c r="AW472" s="1" t="n"/>
    </row>
    <row r="473" ht="20.25" customHeight="1">
      <c r="A473" s="1" t="n"/>
      <c r="B473" s="2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4" t="n"/>
      <c r="S473" s="1" t="n"/>
      <c r="T473" s="1" t="n"/>
      <c r="U473" s="1" t="n"/>
      <c r="V473" s="2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M473" s="1" t="n"/>
      <c r="AW473" s="1" t="n"/>
    </row>
    <row r="474" ht="20.25" customHeight="1">
      <c r="A474" s="1" t="n"/>
      <c r="B474" s="2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4" t="n"/>
      <c r="S474" s="1" t="n"/>
      <c r="T474" s="1" t="n"/>
      <c r="U474" s="1" t="n"/>
      <c r="V474" s="2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M474" s="1" t="n"/>
      <c r="AW474" s="1" t="n"/>
    </row>
    <row r="475" ht="20.25" customHeight="1">
      <c r="A475" s="1" t="n"/>
      <c r="B475" s="2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4" t="n"/>
      <c r="S475" s="1" t="n"/>
      <c r="T475" s="1" t="n"/>
      <c r="U475" s="1" t="n"/>
      <c r="V475" s="2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M475" s="1" t="n"/>
      <c r="AW475" s="1" t="n"/>
    </row>
    <row r="476" ht="20.25" customHeight="1">
      <c r="A476" s="1" t="n"/>
      <c r="B476" s="2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4" t="n"/>
      <c r="S476" s="1" t="n"/>
      <c r="T476" s="1" t="n"/>
      <c r="U476" s="1" t="n"/>
      <c r="V476" s="2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M476" s="1" t="n"/>
      <c r="AW476" s="1" t="n"/>
    </row>
    <row r="477" ht="20.25" customHeight="1">
      <c r="A477" s="1" t="n"/>
      <c r="B477" s="2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4" t="n"/>
      <c r="S477" s="1" t="n"/>
      <c r="T477" s="1" t="n"/>
      <c r="U477" s="1" t="n"/>
      <c r="V477" s="2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M477" s="1" t="n"/>
      <c r="AW477" s="1" t="n"/>
    </row>
    <row r="478" ht="20.25" customHeight="1">
      <c r="A478" s="1" t="n"/>
      <c r="B478" s="2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4" t="n"/>
      <c r="S478" s="1" t="n"/>
      <c r="T478" s="1" t="n"/>
      <c r="U478" s="1" t="n"/>
      <c r="V478" s="2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M478" s="1" t="n"/>
      <c r="AW478" s="1" t="n"/>
    </row>
    <row r="479" ht="20.25" customHeight="1">
      <c r="A479" s="1" t="n"/>
      <c r="B479" s="2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4" t="n"/>
      <c r="S479" s="1" t="n"/>
      <c r="T479" s="1" t="n"/>
      <c r="U479" s="1" t="n"/>
      <c r="V479" s="2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M479" s="1" t="n"/>
      <c r="AW479" s="1" t="n"/>
    </row>
    <row r="480" ht="20.25" customHeight="1">
      <c r="A480" s="1" t="n"/>
      <c r="B480" s="2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4" t="n"/>
      <c r="S480" s="1" t="n"/>
      <c r="T480" s="1" t="n"/>
      <c r="U480" s="1" t="n"/>
      <c r="V480" s="2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M480" s="1" t="n"/>
      <c r="AW480" s="1" t="n"/>
    </row>
    <row r="481" ht="20.25" customHeight="1">
      <c r="A481" s="1" t="n"/>
      <c r="B481" s="2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4" t="n"/>
      <c r="S481" s="1" t="n"/>
      <c r="T481" s="1" t="n"/>
      <c r="U481" s="1" t="n"/>
      <c r="V481" s="2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M481" s="1" t="n"/>
      <c r="AW481" s="1" t="n"/>
    </row>
    <row r="482" ht="20.25" customHeight="1">
      <c r="A482" s="1" t="n"/>
      <c r="B482" s="2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4" t="n"/>
      <c r="S482" s="1" t="n"/>
      <c r="T482" s="1" t="n"/>
      <c r="U482" s="1" t="n"/>
      <c r="V482" s="2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M482" s="1" t="n"/>
      <c r="AW482" s="1" t="n"/>
    </row>
    <row r="483" ht="20.25" customHeight="1">
      <c r="A483" s="1" t="n"/>
      <c r="B483" s="2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4" t="n"/>
      <c r="S483" s="1" t="n"/>
      <c r="T483" s="1" t="n"/>
      <c r="U483" s="1" t="n"/>
      <c r="V483" s="2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M483" s="1" t="n"/>
      <c r="AW483" s="1" t="n"/>
    </row>
    <row r="484" ht="20.25" customHeight="1">
      <c r="A484" s="1" t="n"/>
      <c r="B484" s="2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4" t="n"/>
      <c r="S484" s="1" t="n"/>
      <c r="T484" s="1" t="n"/>
      <c r="U484" s="1" t="n"/>
      <c r="V484" s="2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M484" s="1" t="n"/>
      <c r="AW484" s="1" t="n"/>
    </row>
    <row r="485" ht="20.25" customHeight="1">
      <c r="A485" s="1" t="n"/>
      <c r="B485" s="2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4" t="n"/>
      <c r="S485" s="1" t="n"/>
      <c r="T485" s="1" t="n"/>
      <c r="U485" s="1" t="n"/>
      <c r="V485" s="2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M485" s="1" t="n"/>
      <c r="AW485" s="1" t="n"/>
    </row>
    <row r="486" ht="20.25" customHeight="1">
      <c r="A486" s="1" t="n"/>
      <c r="B486" s="2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4" t="n"/>
      <c r="S486" s="1" t="n"/>
      <c r="T486" s="1" t="n"/>
      <c r="U486" s="1" t="n"/>
      <c r="V486" s="2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M486" s="1" t="n"/>
      <c r="AW486" s="1" t="n"/>
    </row>
    <row r="487" ht="20.25" customHeight="1">
      <c r="A487" s="1" t="n"/>
      <c r="B487" s="2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4" t="n"/>
      <c r="S487" s="1" t="n"/>
      <c r="T487" s="1" t="n"/>
      <c r="U487" s="1" t="n"/>
      <c r="V487" s="2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M487" s="1" t="n"/>
      <c r="AW487" s="1" t="n"/>
    </row>
    <row r="488" ht="20.25" customHeight="1">
      <c r="A488" s="1" t="n"/>
      <c r="B488" s="2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4" t="n"/>
      <c r="S488" s="1" t="n"/>
      <c r="T488" s="1" t="n"/>
      <c r="U488" s="1" t="n"/>
      <c r="V488" s="2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M488" s="1" t="n"/>
      <c r="AW488" s="1" t="n"/>
    </row>
    <row r="489" ht="20.25" customHeight="1">
      <c r="A489" s="1" t="n"/>
      <c r="B489" s="2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4" t="n"/>
      <c r="S489" s="1" t="n"/>
      <c r="T489" s="1" t="n"/>
      <c r="U489" s="1" t="n"/>
      <c r="V489" s="2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M489" s="1" t="n"/>
      <c r="AW489" s="1" t="n"/>
    </row>
    <row r="490" ht="20.25" customHeight="1">
      <c r="A490" s="1" t="n"/>
      <c r="B490" s="2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4" t="n"/>
      <c r="S490" s="1" t="n"/>
      <c r="T490" s="1" t="n"/>
      <c r="U490" s="1" t="n"/>
      <c r="V490" s="2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M490" s="1" t="n"/>
      <c r="AW490" s="1" t="n"/>
    </row>
    <row r="491" ht="20.25" customHeight="1">
      <c r="A491" s="1" t="n"/>
      <c r="B491" s="2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4" t="n"/>
      <c r="S491" s="1" t="n"/>
      <c r="T491" s="1" t="n"/>
      <c r="U491" s="1" t="n"/>
      <c r="V491" s="2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M491" s="1" t="n"/>
      <c r="AW491" s="1" t="n"/>
    </row>
    <row r="492" ht="20.25" customHeight="1">
      <c r="A492" s="1" t="n"/>
      <c r="B492" s="2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4" t="n"/>
      <c r="S492" s="1" t="n"/>
      <c r="T492" s="1" t="n"/>
      <c r="U492" s="1" t="n"/>
      <c r="V492" s="2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M492" s="1" t="n"/>
      <c r="AW492" s="1" t="n"/>
    </row>
    <row r="493" ht="20.25" customHeight="1">
      <c r="A493" s="1" t="n"/>
      <c r="B493" s="2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4" t="n"/>
      <c r="S493" s="1" t="n"/>
      <c r="T493" s="1" t="n"/>
      <c r="U493" s="1" t="n"/>
      <c r="V493" s="2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M493" s="1" t="n"/>
      <c r="AW493" s="1" t="n"/>
    </row>
    <row r="494" ht="20.25" customHeight="1">
      <c r="A494" s="1" t="n"/>
      <c r="B494" s="2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4" t="n"/>
      <c r="S494" s="1" t="n"/>
      <c r="T494" s="1" t="n"/>
      <c r="U494" s="1" t="n"/>
      <c r="V494" s="2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M494" s="1" t="n"/>
      <c r="AW494" s="1" t="n"/>
    </row>
    <row r="495" ht="20.25" customHeight="1">
      <c r="A495" s="1" t="n"/>
      <c r="B495" s="2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4" t="n"/>
      <c r="S495" s="1" t="n"/>
      <c r="T495" s="1" t="n"/>
      <c r="U495" s="1" t="n"/>
      <c r="V495" s="2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M495" s="1" t="n"/>
      <c r="AW495" s="1" t="n"/>
    </row>
    <row r="496" ht="20.25" customHeight="1">
      <c r="A496" s="1" t="n"/>
      <c r="B496" s="2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4" t="n"/>
      <c r="S496" s="1" t="n"/>
      <c r="T496" s="1" t="n"/>
      <c r="U496" s="1" t="n"/>
      <c r="V496" s="2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M496" s="1" t="n"/>
      <c r="AW496" s="1" t="n"/>
    </row>
    <row r="497" ht="20.25" customHeight="1">
      <c r="A497" s="1" t="n"/>
      <c r="B497" s="2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4" t="n"/>
      <c r="S497" s="1" t="n"/>
      <c r="T497" s="1" t="n"/>
      <c r="U497" s="1" t="n"/>
      <c r="V497" s="2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M497" s="1" t="n"/>
      <c r="AW497" s="1" t="n"/>
    </row>
    <row r="498" ht="20.25" customHeight="1">
      <c r="A498" s="1" t="n"/>
      <c r="B498" s="2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4" t="n"/>
      <c r="S498" s="1" t="n"/>
      <c r="T498" s="1" t="n"/>
      <c r="U498" s="1" t="n"/>
      <c r="V498" s="2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M498" s="1" t="n"/>
      <c r="AW498" s="1" t="n"/>
    </row>
    <row r="499" ht="20.25" customHeight="1">
      <c r="A499" s="1" t="n"/>
      <c r="B499" s="2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4" t="n"/>
      <c r="S499" s="1" t="n"/>
      <c r="T499" s="1" t="n"/>
      <c r="U499" s="1" t="n"/>
      <c r="V499" s="2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M499" s="1" t="n"/>
      <c r="AW499" s="1" t="n"/>
    </row>
    <row r="500" ht="20.25" customHeight="1">
      <c r="A500" s="1" t="n"/>
      <c r="B500" s="2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4" t="n"/>
      <c r="S500" s="1" t="n"/>
      <c r="T500" s="1" t="n"/>
      <c r="U500" s="1" t="n"/>
      <c r="V500" s="2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M500" s="1" t="n"/>
      <c r="AW500" s="1" t="n"/>
    </row>
    <row r="501" ht="20.25" customHeight="1">
      <c r="A501" s="1" t="n"/>
      <c r="B501" s="2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4" t="n"/>
      <c r="S501" s="1" t="n"/>
      <c r="T501" s="1" t="n"/>
      <c r="U501" s="1" t="n"/>
      <c r="V501" s="2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M501" s="1" t="n"/>
      <c r="AW501" s="1" t="n"/>
    </row>
    <row r="502" ht="20.25" customHeight="1">
      <c r="A502" s="1" t="n"/>
      <c r="B502" s="2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4" t="n"/>
      <c r="S502" s="1" t="n"/>
      <c r="T502" s="1" t="n"/>
      <c r="U502" s="1" t="n"/>
      <c r="V502" s="2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M502" s="1" t="n"/>
      <c r="AW502" s="1" t="n"/>
    </row>
    <row r="503" ht="20.25" customHeight="1">
      <c r="A503" s="1" t="n"/>
      <c r="B503" s="2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4" t="n"/>
      <c r="S503" s="1" t="n"/>
      <c r="T503" s="1" t="n"/>
      <c r="U503" s="1" t="n"/>
      <c r="V503" s="2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M503" s="1" t="n"/>
      <c r="AW503" s="1" t="n"/>
    </row>
    <row r="504" ht="20.25" customHeight="1">
      <c r="A504" s="1" t="n"/>
      <c r="B504" s="2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4" t="n"/>
      <c r="S504" s="1" t="n"/>
      <c r="T504" s="1" t="n"/>
      <c r="U504" s="1" t="n"/>
      <c r="V504" s="2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M504" s="1" t="n"/>
      <c r="AW504" s="1" t="n"/>
    </row>
    <row r="505" ht="20.25" customHeight="1">
      <c r="A505" s="1" t="n"/>
      <c r="B505" s="2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4" t="n"/>
      <c r="S505" s="1" t="n"/>
      <c r="T505" s="1" t="n"/>
      <c r="U505" s="1" t="n"/>
      <c r="V505" s="2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M505" s="1" t="n"/>
      <c r="AW505" s="1" t="n"/>
    </row>
    <row r="506" ht="20.25" customHeight="1">
      <c r="A506" s="1" t="n"/>
      <c r="B506" s="2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4" t="n"/>
      <c r="S506" s="1" t="n"/>
      <c r="T506" s="1" t="n"/>
      <c r="U506" s="1" t="n"/>
      <c r="V506" s="2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M506" s="1" t="n"/>
      <c r="AW506" s="1" t="n"/>
    </row>
    <row r="507" ht="20.25" customHeight="1">
      <c r="A507" s="1" t="n"/>
      <c r="B507" s="2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4" t="n"/>
      <c r="S507" s="1" t="n"/>
      <c r="T507" s="1" t="n"/>
      <c r="U507" s="1" t="n"/>
      <c r="V507" s="2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M507" s="1" t="n"/>
      <c r="AW507" s="1" t="n"/>
    </row>
    <row r="508" ht="20.25" customHeight="1">
      <c r="A508" s="1" t="n"/>
      <c r="B508" s="2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4" t="n"/>
      <c r="S508" s="1" t="n"/>
      <c r="T508" s="1" t="n"/>
      <c r="U508" s="1" t="n"/>
      <c r="V508" s="2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M508" s="1" t="n"/>
      <c r="AW508" s="1" t="n"/>
    </row>
    <row r="509" ht="20.25" customHeight="1">
      <c r="A509" s="1" t="n"/>
      <c r="B509" s="2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4" t="n"/>
      <c r="S509" s="1" t="n"/>
      <c r="T509" s="1" t="n"/>
      <c r="U509" s="1" t="n"/>
      <c r="V509" s="2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M509" s="1" t="n"/>
      <c r="AW509" s="1" t="n"/>
    </row>
    <row r="510" ht="20.25" customHeight="1">
      <c r="A510" s="1" t="n"/>
      <c r="B510" s="2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4" t="n"/>
      <c r="S510" s="1" t="n"/>
      <c r="T510" s="1" t="n"/>
      <c r="U510" s="1" t="n"/>
      <c r="V510" s="2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M510" s="1" t="n"/>
      <c r="AW510" s="1" t="n"/>
    </row>
    <row r="511" ht="20.25" customHeight="1">
      <c r="A511" s="1" t="n"/>
      <c r="B511" s="2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4" t="n"/>
      <c r="S511" s="1" t="n"/>
      <c r="T511" s="1" t="n"/>
      <c r="U511" s="1" t="n"/>
      <c r="V511" s="2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M511" s="1" t="n"/>
      <c r="AW511" s="1" t="n"/>
    </row>
    <row r="512" ht="20.25" customHeight="1">
      <c r="A512" s="1" t="n"/>
      <c r="B512" s="2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4" t="n"/>
      <c r="S512" s="1" t="n"/>
      <c r="T512" s="1" t="n"/>
      <c r="U512" s="1" t="n"/>
      <c r="V512" s="2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M512" s="1" t="n"/>
      <c r="AW512" s="1" t="n"/>
    </row>
    <row r="513" ht="20.25" customHeight="1">
      <c r="A513" s="1" t="n"/>
      <c r="B513" s="2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4" t="n"/>
      <c r="S513" s="1" t="n"/>
      <c r="T513" s="1" t="n"/>
      <c r="U513" s="1" t="n"/>
      <c r="V513" s="2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M513" s="1" t="n"/>
      <c r="AW513" s="1" t="n"/>
    </row>
    <row r="514" ht="20.25" customHeight="1">
      <c r="A514" s="1" t="n"/>
      <c r="B514" s="2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4" t="n"/>
      <c r="S514" s="1" t="n"/>
      <c r="T514" s="1" t="n"/>
      <c r="U514" s="1" t="n"/>
      <c r="V514" s="2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M514" s="1" t="n"/>
      <c r="AW514" s="1" t="n"/>
    </row>
    <row r="515" ht="20.25" customHeight="1">
      <c r="A515" s="1" t="n"/>
      <c r="B515" s="2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4" t="n"/>
      <c r="S515" s="1" t="n"/>
      <c r="T515" s="1" t="n"/>
      <c r="U515" s="1" t="n"/>
      <c r="V515" s="2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M515" s="1" t="n"/>
      <c r="AW515" s="1" t="n"/>
    </row>
    <row r="516" ht="20.25" customHeight="1">
      <c r="A516" s="1" t="n"/>
      <c r="B516" s="2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4" t="n"/>
      <c r="S516" s="1" t="n"/>
      <c r="T516" s="1" t="n"/>
      <c r="U516" s="1" t="n"/>
      <c r="V516" s="2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M516" s="1" t="n"/>
      <c r="AW516" s="1" t="n"/>
    </row>
    <row r="517" ht="20.25" customHeight="1">
      <c r="A517" s="1" t="n"/>
      <c r="B517" s="2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4" t="n"/>
      <c r="S517" s="1" t="n"/>
      <c r="T517" s="1" t="n"/>
      <c r="U517" s="1" t="n"/>
      <c r="V517" s="2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M517" s="1" t="n"/>
      <c r="AW517" s="1" t="n"/>
    </row>
    <row r="518" ht="20.25" customHeight="1">
      <c r="A518" s="1" t="n"/>
      <c r="B518" s="2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4" t="n"/>
      <c r="S518" s="1" t="n"/>
      <c r="T518" s="1" t="n"/>
      <c r="U518" s="1" t="n"/>
      <c r="V518" s="2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M518" s="1" t="n"/>
      <c r="AW518" s="1" t="n"/>
    </row>
    <row r="519" ht="20.25" customHeight="1">
      <c r="A519" s="1" t="n"/>
      <c r="B519" s="2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4" t="n"/>
      <c r="S519" s="1" t="n"/>
      <c r="T519" s="1" t="n"/>
      <c r="U519" s="1" t="n"/>
      <c r="V519" s="2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M519" s="1" t="n"/>
      <c r="AW519" s="1" t="n"/>
    </row>
    <row r="520" ht="20.25" customHeight="1">
      <c r="A520" s="1" t="n"/>
      <c r="B520" s="2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4" t="n"/>
      <c r="S520" s="1" t="n"/>
      <c r="T520" s="1" t="n"/>
      <c r="U520" s="1" t="n"/>
      <c r="V520" s="2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M520" s="1" t="n"/>
      <c r="AW520" s="1" t="n"/>
    </row>
    <row r="521" ht="20.25" customHeight="1">
      <c r="A521" s="1" t="n"/>
      <c r="B521" s="2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4" t="n"/>
      <c r="S521" s="1" t="n"/>
      <c r="T521" s="1" t="n"/>
      <c r="U521" s="1" t="n"/>
      <c r="V521" s="2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M521" s="1" t="n"/>
      <c r="AW521" s="1" t="n"/>
    </row>
    <row r="522" ht="20.25" customHeight="1">
      <c r="A522" s="1" t="n"/>
      <c r="B522" s="2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4" t="n"/>
      <c r="S522" s="1" t="n"/>
      <c r="T522" s="1" t="n"/>
      <c r="U522" s="1" t="n"/>
      <c r="V522" s="2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M522" s="1" t="n"/>
      <c r="AW522" s="1" t="n"/>
    </row>
    <row r="523" ht="20.25" customHeight="1">
      <c r="A523" s="1" t="n"/>
      <c r="B523" s="2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4" t="n"/>
      <c r="S523" s="1" t="n"/>
      <c r="T523" s="1" t="n"/>
      <c r="U523" s="1" t="n"/>
      <c r="V523" s="2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M523" s="1" t="n"/>
      <c r="AW523" s="1" t="n"/>
    </row>
    <row r="524" ht="20.25" customHeight="1">
      <c r="A524" s="1" t="n"/>
      <c r="B524" s="2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4" t="n"/>
      <c r="S524" s="1" t="n"/>
      <c r="T524" s="1" t="n"/>
      <c r="U524" s="1" t="n"/>
      <c r="V524" s="2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M524" s="1" t="n"/>
      <c r="AW524" s="1" t="n"/>
    </row>
    <row r="525" ht="20.25" customHeight="1">
      <c r="A525" s="1" t="n"/>
      <c r="B525" s="2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4" t="n"/>
      <c r="S525" s="1" t="n"/>
      <c r="T525" s="1" t="n"/>
      <c r="U525" s="1" t="n"/>
      <c r="V525" s="2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M525" s="1" t="n"/>
      <c r="AW525" s="1" t="n"/>
    </row>
    <row r="526" ht="20.25" customHeight="1">
      <c r="A526" s="1" t="n"/>
      <c r="B526" s="2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4" t="n"/>
      <c r="S526" s="1" t="n"/>
      <c r="T526" s="1" t="n"/>
      <c r="U526" s="1" t="n"/>
      <c r="V526" s="2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M526" s="1" t="n"/>
      <c r="AW526" s="1" t="n"/>
    </row>
    <row r="527" ht="20.25" customHeight="1">
      <c r="A527" s="1" t="n"/>
      <c r="B527" s="2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4" t="n"/>
      <c r="S527" s="1" t="n"/>
      <c r="T527" s="1" t="n"/>
      <c r="U527" s="1" t="n"/>
      <c r="V527" s="2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M527" s="1" t="n"/>
      <c r="AW527" s="1" t="n"/>
    </row>
    <row r="528" ht="20.25" customHeight="1">
      <c r="A528" s="1" t="n"/>
      <c r="B528" s="2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4" t="n"/>
      <c r="S528" s="1" t="n"/>
      <c r="T528" s="1" t="n"/>
      <c r="U528" s="1" t="n"/>
      <c r="V528" s="2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M528" s="1" t="n"/>
      <c r="AW528" s="1" t="n"/>
    </row>
    <row r="529" ht="20.25" customHeight="1">
      <c r="A529" s="1" t="n"/>
      <c r="B529" s="2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4" t="n"/>
      <c r="S529" s="1" t="n"/>
      <c r="T529" s="1" t="n"/>
      <c r="U529" s="1" t="n"/>
      <c r="V529" s="2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M529" s="1" t="n"/>
      <c r="AW529" s="1" t="n"/>
    </row>
    <row r="530" ht="20.25" customHeight="1">
      <c r="A530" s="1" t="n"/>
      <c r="B530" s="2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4" t="n"/>
      <c r="S530" s="1" t="n"/>
      <c r="T530" s="1" t="n"/>
      <c r="U530" s="1" t="n"/>
      <c r="V530" s="2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M530" s="1" t="n"/>
      <c r="AW530" s="1" t="n"/>
    </row>
    <row r="531" ht="20.25" customHeight="1">
      <c r="A531" s="1" t="n"/>
      <c r="B531" s="2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4" t="n"/>
      <c r="S531" s="1" t="n"/>
      <c r="T531" s="1" t="n"/>
      <c r="U531" s="1" t="n"/>
      <c r="V531" s="2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M531" s="1" t="n"/>
      <c r="AW531" s="1" t="n"/>
    </row>
    <row r="532" ht="20.25" customHeight="1">
      <c r="A532" s="1" t="n"/>
      <c r="B532" s="2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4" t="n"/>
      <c r="S532" s="1" t="n"/>
      <c r="T532" s="1" t="n"/>
      <c r="U532" s="1" t="n"/>
      <c r="V532" s="2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M532" s="1" t="n"/>
      <c r="AW532" s="1" t="n"/>
    </row>
    <row r="533" ht="20.25" customHeight="1">
      <c r="A533" s="1" t="n"/>
      <c r="B533" s="2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4" t="n"/>
      <c r="S533" s="1" t="n"/>
      <c r="T533" s="1" t="n"/>
      <c r="U533" s="1" t="n"/>
      <c r="V533" s="2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M533" s="1" t="n"/>
      <c r="AW533" s="1" t="n"/>
    </row>
    <row r="534" ht="20.25" customHeight="1">
      <c r="A534" s="1" t="n"/>
      <c r="B534" s="2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4" t="n"/>
      <c r="S534" s="1" t="n"/>
      <c r="T534" s="1" t="n"/>
      <c r="U534" s="1" t="n"/>
      <c r="V534" s="2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M534" s="1" t="n"/>
      <c r="AW534" s="1" t="n"/>
    </row>
    <row r="535" ht="20.25" customHeight="1">
      <c r="A535" s="1" t="n"/>
      <c r="B535" s="2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4" t="n"/>
      <c r="S535" s="1" t="n"/>
      <c r="T535" s="1" t="n"/>
      <c r="U535" s="1" t="n"/>
      <c r="V535" s="2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M535" s="1" t="n"/>
      <c r="AW535" s="1" t="n"/>
    </row>
    <row r="536" ht="20.25" customHeight="1">
      <c r="A536" s="1" t="n"/>
      <c r="B536" s="2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4" t="n"/>
      <c r="S536" s="1" t="n"/>
      <c r="T536" s="1" t="n"/>
      <c r="U536" s="1" t="n"/>
      <c r="V536" s="2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M536" s="1" t="n"/>
      <c r="AW536" s="1" t="n"/>
    </row>
    <row r="537" ht="20.25" customHeight="1">
      <c r="A537" s="1" t="n"/>
      <c r="B537" s="2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4" t="n"/>
      <c r="S537" s="1" t="n"/>
      <c r="T537" s="1" t="n"/>
      <c r="U537" s="1" t="n"/>
      <c r="V537" s="2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M537" s="1" t="n"/>
      <c r="AW537" s="1" t="n"/>
    </row>
    <row r="538" ht="20.25" customHeight="1">
      <c r="A538" s="1" t="n"/>
      <c r="B538" s="2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4" t="n"/>
      <c r="S538" s="1" t="n"/>
      <c r="T538" s="1" t="n"/>
      <c r="U538" s="1" t="n"/>
      <c r="V538" s="2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M538" s="1" t="n"/>
      <c r="AW538" s="1" t="n"/>
    </row>
    <row r="539" ht="20.25" customHeight="1">
      <c r="A539" s="1" t="n"/>
      <c r="B539" s="2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4" t="n"/>
      <c r="S539" s="1" t="n"/>
      <c r="T539" s="1" t="n"/>
      <c r="U539" s="1" t="n"/>
      <c r="V539" s="2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M539" s="1" t="n"/>
      <c r="AW539" s="1" t="n"/>
    </row>
    <row r="540" ht="20.25" customHeight="1">
      <c r="A540" s="1" t="n"/>
      <c r="B540" s="2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4" t="n"/>
      <c r="S540" s="1" t="n"/>
      <c r="T540" s="1" t="n"/>
      <c r="U540" s="1" t="n"/>
      <c r="V540" s="2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M540" s="1" t="n"/>
      <c r="AW540" s="1" t="n"/>
    </row>
    <row r="541" ht="20.25" customHeight="1">
      <c r="A541" s="1" t="n"/>
      <c r="B541" s="2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4" t="n"/>
      <c r="S541" s="1" t="n"/>
      <c r="T541" s="1" t="n"/>
      <c r="U541" s="1" t="n"/>
      <c r="V541" s="2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M541" s="1" t="n"/>
      <c r="AW541" s="1" t="n"/>
    </row>
    <row r="542" ht="20.25" customHeight="1">
      <c r="A542" s="1" t="n"/>
      <c r="B542" s="2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4" t="n"/>
      <c r="S542" s="1" t="n"/>
      <c r="T542" s="1" t="n"/>
      <c r="U542" s="1" t="n"/>
      <c r="V542" s="2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M542" s="1" t="n"/>
      <c r="AW542" s="1" t="n"/>
    </row>
    <row r="543" ht="20.25" customHeight="1">
      <c r="A543" s="1" t="n"/>
      <c r="B543" s="2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4" t="n"/>
      <c r="S543" s="1" t="n"/>
      <c r="T543" s="1" t="n"/>
      <c r="U543" s="1" t="n"/>
      <c r="V543" s="2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M543" s="1" t="n"/>
      <c r="AW543" s="1" t="n"/>
    </row>
    <row r="544" ht="20.25" customHeight="1">
      <c r="A544" s="1" t="n"/>
      <c r="B544" s="2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4" t="n"/>
      <c r="S544" s="1" t="n"/>
      <c r="T544" s="1" t="n"/>
      <c r="U544" s="1" t="n"/>
      <c r="V544" s="2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M544" s="1" t="n"/>
      <c r="AW544" s="1" t="n"/>
    </row>
    <row r="545" ht="20.25" customHeight="1">
      <c r="A545" s="1" t="n"/>
      <c r="B545" s="2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4" t="n"/>
      <c r="S545" s="1" t="n"/>
      <c r="T545" s="1" t="n"/>
      <c r="U545" s="1" t="n"/>
      <c r="V545" s="2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M545" s="1" t="n"/>
      <c r="AW545" s="1" t="n"/>
    </row>
    <row r="546" ht="20.25" customHeight="1">
      <c r="A546" s="1" t="n"/>
      <c r="B546" s="2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4" t="n"/>
      <c r="S546" s="1" t="n"/>
      <c r="T546" s="1" t="n"/>
      <c r="U546" s="1" t="n"/>
      <c r="V546" s="2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M546" s="1" t="n"/>
      <c r="AW546" s="1" t="n"/>
    </row>
    <row r="547" ht="20.25" customHeight="1">
      <c r="A547" s="1" t="n"/>
      <c r="B547" s="2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4" t="n"/>
      <c r="S547" s="1" t="n"/>
      <c r="T547" s="1" t="n"/>
      <c r="U547" s="1" t="n"/>
      <c r="V547" s="2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M547" s="1" t="n"/>
      <c r="AW547" s="1" t="n"/>
    </row>
    <row r="548" ht="20.25" customHeight="1">
      <c r="A548" s="1" t="n"/>
      <c r="B548" s="2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4" t="n"/>
      <c r="S548" s="1" t="n"/>
      <c r="T548" s="1" t="n"/>
      <c r="U548" s="1" t="n"/>
      <c r="V548" s="2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M548" s="1" t="n"/>
      <c r="AW548" s="1" t="n"/>
    </row>
    <row r="549" ht="20.25" customHeight="1">
      <c r="A549" s="1" t="n"/>
      <c r="B549" s="2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4" t="n"/>
      <c r="S549" s="1" t="n"/>
      <c r="T549" s="1" t="n"/>
      <c r="U549" s="1" t="n"/>
      <c r="V549" s="2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M549" s="1" t="n"/>
      <c r="AW549" s="1" t="n"/>
    </row>
    <row r="550" ht="20.25" customHeight="1">
      <c r="A550" s="1" t="n"/>
      <c r="B550" s="2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4" t="n"/>
      <c r="S550" s="1" t="n"/>
      <c r="T550" s="1" t="n"/>
      <c r="U550" s="1" t="n"/>
      <c r="V550" s="2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M550" s="1" t="n"/>
      <c r="AW550" s="1" t="n"/>
    </row>
    <row r="551" ht="20.25" customHeight="1">
      <c r="A551" s="1" t="n"/>
      <c r="B551" s="2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4" t="n"/>
      <c r="S551" s="1" t="n"/>
      <c r="T551" s="1" t="n"/>
      <c r="U551" s="1" t="n"/>
      <c r="V551" s="2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M551" s="1" t="n"/>
      <c r="AW551" s="1" t="n"/>
    </row>
    <row r="552" ht="20.25" customHeight="1">
      <c r="A552" s="1" t="n"/>
      <c r="B552" s="2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4" t="n"/>
      <c r="S552" s="1" t="n"/>
      <c r="T552" s="1" t="n"/>
      <c r="U552" s="1" t="n"/>
      <c r="V552" s="2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M552" s="1" t="n"/>
      <c r="AW552" s="1" t="n"/>
    </row>
    <row r="553" ht="20.25" customHeight="1">
      <c r="A553" s="1" t="n"/>
      <c r="B553" s="2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4" t="n"/>
      <c r="S553" s="1" t="n"/>
      <c r="T553" s="1" t="n"/>
      <c r="U553" s="1" t="n"/>
      <c r="V553" s="2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M553" s="1" t="n"/>
      <c r="AW553" s="1" t="n"/>
    </row>
    <row r="554" ht="20.25" customHeight="1">
      <c r="A554" s="1" t="n"/>
      <c r="B554" s="2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4" t="n"/>
      <c r="S554" s="1" t="n"/>
      <c r="T554" s="1" t="n"/>
      <c r="U554" s="1" t="n"/>
      <c r="V554" s="2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M554" s="1" t="n"/>
      <c r="AW554" s="1" t="n"/>
    </row>
    <row r="555" ht="20.25" customHeight="1">
      <c r="A555" s="1" t="n"/>
      <c r="B555" s="2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4" t="n"/>
      <c r="S555" s="1" t="n"/>
      <c r="T555" s="1" t="n"/>
      <c r="U555" s="1" t="n"/>
      <c r="V555" s="2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M555" s="1" t="n"/>
      <c r="AW555" s="1" t="n"/>
    </row>
    <row r="556" ht="20.25" customHeight="1">
      <c r="A556" s="1" t="n"/>
      <c r="B556" s="2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4" t="n"/>
      <c r="S556" s="1" t="n"/>
      <c r="T556" s="1" t="n"/>
      <c r="U556" s="1" t="n"/>
      <c r="V556" s="2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M556" s="1" t="n"/>
      <c r="AW556" s="1" t="n"/>
    </row>
    <row r="557" ht="20.25" customHeight="1">
      <c r="A557" s="1" t="n"/>
      <c r="B557" s="2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4" t="n"/>
      <c r="S557" s="1" t="n"/>
      <c r="T557" s="1" t="n"/>
      <c r="U557" s="1" t="n"/>
      <c r="V557" s="2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M557" s="1" t="n"/>
      <c r="AW557" s="1" t="n"/>
    </row>
    <row r="558" ht="20.25" customHeight="1">
      <c r="A558" s="1" t="n"/>
      <c r="B558" s="2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4" t="n"/>
      <c r="S558" s="1" t="n"/>
      <c r="T558" s="1" t="n"/>
      <c r="U558" s="1" t="n"/>
      <c r="V558" s="2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M558" s="1" t="n"/>
      <c r="AW558" s="1" t="n"/>
    </row>
    <row r="559" ht="20.25" customHeight="1">
      <c r="A559" s="1" t="n"/>
      <c r="B559" s="2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4" t="n"/>
      <c r="S559" s="1" t="n"/>
      <c r="T559" s="1" t="n"/>
      <c r="U559" s="1" t="n"/>
      <c r="V559" s="2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M559" s="1" t="n"/>
      <c r="AW559" s="1" t="n"/>
    </row>
    <row r="560" ht="20.25" customHeight="1">
      <c r="A560" s="1" t="n"/>
      <c r="B560" s="2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4" t="n"/>
      <c r="S560" s="1" t="n"/>
      <c r="T560" s="1" t="n"/>
      <c r="U560" s="1" t="n"/>
      <c r="V560" s="2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M560" s="1" t="n"/>
      <c r="AW560" s="1" t="n"/>
    </row>
    <row r="561" ht="20.25" customHeight="1">
      <c r="A561" s="1" t="n"/>
      <c r="B561" s="2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4" t="n"/>
      <c r="S561" s="1" t="n"/>
      <c r="T561" s="1" t="n"/>
      <c r="U561" s="1" t="n"/>
      <c r="V561" s="2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M561" s="1" t="n"/>
      <c r="AW561" s="1" t="n"/>
    </row>
    <row r="562" ht="20.25" customHeight="1">
      <c r="A562" s="1" t="n"/>
      <c r="B562" s="2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4" t="n"/>
      <c r="S562" s="1" t="n"/>
      <c r="T562" s="1" t="n"/>
      <c r="U562" s="1" t="n"/>
      <c r="V562" s="2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M562" s="1" t="n"/>
      <c r="AW562" s="1" t="n"/>
    </row>
    <row r="563" ht="20.25" customHeight="1">
      <c r="A563" s="1" t="n"/>
      <c r="B563" s="2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4" t="n"/>
      <c r="S563" s="1" t="n"/>
      <c r="T563" s="1" t="n"/>
      <c r="U563" s="1" t="n"/>
      <c r="V563" s="2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M563" s="1" t="n"/>
      <c r="AW563" s="1" t="n"/>
    </row>
    <row r="564" ht="20.25" customHeight="1">
      <c r="A564" s="1" t="n"/>
      <c r="B564" s="2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4" t="n"/>
      <c r="S564" s="1" t="n"/>
      <c r="T564" s="1" t="n"/>
      <c r="U564" s="1" t="n"/>
      <c r="V564" s="2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M564" s="1" t="n"/>
      <c r="AW564" s="1" t="n"/>
    </row>
    <row r="565" ht="20.25" customHeight="1">
      <c r="A565" s="1" t="n"/>
      <c r="B565" s="2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4" t="n"/>
      <c r="S565" s="1" t="n"/>
      <c r="T565" s="1" t="n"/>
      <c r="U565" s="1" t="n"/>
      <c r="V565" s="2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M565" s="1" t="n"/>
      <c r="AW565" s="1" t="n"/>
    </row>
    <row r="566" ht="20.25" customHeight="1">
      <c r="A566" s="1" t="n"/>
      <c r="B566" s="2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4" t="n"/>
      <c r="S566" s="1" t="n"/>
      <c r="T566" s="1" t="n"/>
      <c r="U566" s="1" t="n"/>
      <c r="V566" s="2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M566" s="1" t="n"/>
      <c r="AW566" s="1" t="n"/>
    </row>
    <row r="567" ht="20.25" customHeight="1">
      <c r="A567" s="1" t="n"/>
      <c r="B567" s="2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4" t="n"/>
      <c r="S567" s="1" t="n"/>
      <c r="T567" s="1" t="n"/>
      <c r="U567" s="1" t="n"/>
      <c r="V567" s="2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M567" s="1" t="n"/>
      <c r="AW567" s="1" t="n"/>
    </row>
    <row r="568" ht="20.25" customHeight="1">
      <c r="A568" s="1" t="n"/>
      <c r="B568" s="2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4" t="n"/>
      <c r="S568" s="1" t="n"/>
      <c r="T568" s="1" t="n"/>
      <c r="U568" s="1" t="n"/>
      <c r="V568" s="2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M568" s="1" t="n"/>
      <c r="AW568" s="1" t="n"/>
    </row>
    <row r="569" ht="20.25" customHeight="1">
      <c r="A569" s="1" t="n"/>
      <c r="B569" s="2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4" t="n"/>
      <c r="S569" s="1" t="n"/>
      <c r="T569" s="1" t="n"/>
      <c r="U569" s="1" t="n"/>
      <c r="V569" s="2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M569" s="1" t="n"/>
      <c r="AW569" s="1" t="n"/>
    </row>
    <row r="570" ht="20.25" customHeight="1">
      <c r="A570" s="1" t="n"/>
      <c r="B570" s="2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4" t="n"/>
      <c r="S570" s="1" t="n"/>
      <c r="T570" s="1" t="n"/>
      <c r="U570" s="1" t="n"/>
      <c r="V570" s="2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M570" s="1" t="n"/>
      <c r="AW570" s="1" t="n"/>
    </row>
    <row r="571" ht="20.25" customHeight="1">
      <c r="A571" s="1" t="n"/>
      <c r="B571" s="2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4" t="n"/>
      <c r="S571" s="1" t="n"/>
      <c r="T571" s="1" t="n"/>
      <c r="U571" s="1" t="n"/>
      <c r="V571" s="2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M571" s="1" t="n"/>
      <c r="AW571" s="1" t="n"/>
    </row>
    <row r="572" ht="20.25" customHeight="1">
      <c r="A572" s="1" t="n"/>
      <c r="B572" s="2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4" t="n"/>
      <c r="S572" s="1" t="n"/>
      <c r="T572" s="1" t="n"/>
      <c r="U572" s="1" t="n"/>
      <c r="V572" s="2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M572" s="1" t="n"/>
      <c r="AW572" s="1" t="n"/>
    </row>
    <row r="573" ht="20.25" customHeight="1">
      <c r="A573" s="1" t="n"/>
      <c r="B573" s="2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4" t="n"/>
      <c r="S573" s="1" t="n"/>
      <c r="T573" s="1" t="n"/>
      <c r="U573" s="1" t="n"/>
      <c r="V573" s="2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M573" s="1" t="n"/>
      <c r="AW573" s="1" t="n"/>
    </row>
    <row r="574" ht="20.25" customHeight="1">
      <c r="A574" s="1" t="n"/>
      <c r="B574" s="2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4" t="n"/>
      <c r="S574" s="1" t="n"/>
      <c r="T574" s="1" t="n"/>
      <c r="U574" s="1" t="n"/>
      <c r="V574" s="2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M574" s="1" t="n"/>
      <c r="AW574" s="1" t="n"/>
    </row>
    <row r="575" ht="20.25" customHeight="1">
      <c r="A575" s="1" t="n"/>
      <c r="B575" s="2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4" t="n"/>
      <c r="S575" s="1" t="n"/>
      <c r="T575" s="1" t="n"/>
      <c r="U575" s="1" t="n"/>
      <c r="V575" s="2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M575" s="1" t="n"/>
      <c r="AW575" s="1" t="n"/>
    </row>
    <row r="576" ht="20.25" customHeight="1">
      <c r="A576" s="1" t="n"/>
      <c r="B576" s="2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4" t="n"/>
      <c r="S576" s="1" t="n"/>
      <c r="T576" s="1" t="n"/>
      <c r="U576" s="1" t="n"/>
      <c r="V576" s="2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M576" s="1" t="n"/>
      <c r="AW576" s="1" t="n"/>
    </row>
    <row r="577" ht="20.25" customHeight="1">
      <c r="A577" s="1" t="n"/>
      <c r="B577" s="2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4" t="n"/>
      <c r="S577" s="1" t="n"/>
      <c r="T577" s="1" t="n"/>
      <c r="U577" s="1" t="n"/>
      <c r="V577" s="2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M577" s="1" t="n"/>
      <c r="AW577" s="1" t="n"/>
    </row>
    <row r="578" ht="20.25" customHeight="1">
      <c r="A578" s="1" t="n"/>
      <c r="B578" s="2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4" t="n"/>
      <c r="S578" s="1" t="n"/>
      <c r="T578" s="1" t="n"/>
      <c r="U578" s="1" t="n"/>
      <c r="V578" s="2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M578" s="1" t="n"/>
      <c r="AW578" s="1" t="n"/>
    </row>
    <row r="579" ht="20.25" customHeight="1">
      <c r="A579" s="1" t="n"/>
      <c r="B579" s="2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4" t="n"/>
      <c r="S579" s="1" t="n"/>
      <c r="T579" s="1" t="n"/>
      <c r="U579" s="1" t="n"/>
      <c r="V579" s="2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M579" s="1" t="n"/>
      <c r="AW579" s="1" t="n"/>
    </row>
    <row r="580" ht="20.25" customHeight="1">
      <c r="A580" s="1" t="n"/>
      <c r="B580" s="2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4" t="n"/>
      <c r="S580" s="1" t="n"/>
      <c r="T580" s="1" t="n"/>
      <c r="U580" s="1" t="n"/>
      <c r="V580" s="2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M580" s="1" t="n"/>
      <c r="AW580" s="1" t="n"/>
    </row>
    <row r="581" ht="20.25" customHeight="1">
      <c r="A581" s="1" t="n"/>
      <c r="B581" s="2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4" t="n"/>
      <c r="S581" s="1" t="n"/>
      <c r="T581" s="1" t="n"/>
      <c r="U581" s="1" t="n"/>
      <c r="V581" s="2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M581" s="1" t="n"/>
      <c r="AW581" s="1" t="n"/>
    </row>
    <row r="582" ht="20.25" customHeight="1">
      <c r="A582" s="1" t="n"/>
      <c r="B582" s="2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4" t="n"/>
      <c r="S582" s="1" t="n"/>
      <c r="T582" s="1" t="n"/>
      <c r="U582" s="1" t="n"/>
      <c r="V582" s="2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M582" s="1" t="n"/>
      <c r="AW582" s="1" t="n"/>
    </row>
    <row r="583" ht="20.25" customHeight="1">
      <c r="A583" s="1" t="n"/>
      <c r="B583" s="2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4" t="n"/>
      <c r="S583" s="1" t="n"/>
      <c r="T583" s="1" t="n"/>
      <c r="U583" s="1" t="n"/>
      <c r="V583" s="2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M583" s="1" t="n"/>
      <c r="AW583" s="1" t="n"/>
    </row>
    <row r="584" ht="20.25" customHeight="1">
      <c r="A584" s="1" t="n"/>
      <c r="B584" s="2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4" t="n"/>
      <c r="S584" s="1" t="n"/>
      <c r="T584" s="1" t="n"/>
      <c r="U584" s="1" t="n"/>
      <c r="V584" s="2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M584" s="1" t="n"/>
      <c r="AW584" s="1" t="n"/>
    </row>
    <row r="585" ht="20.25" customHeight="1">
      <c r="A585" s="1" t="n"/>
      <c r="B585" s="2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4" t="n"/>
      <c r="S585" s="1" t="n"/>
      <c r="T585" s="1" t="n"/>
      <c r="U585" s="1" t="n"/>
      <c r="V585" s="2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M585" s="1" t="n"/>
      <c r="AW585" s="1" t="n"/>
    </row>
    <row r="586" ht="20.25" customHeight="1">
      <c r="A586" s="1" t="n"/>
      <c r="B586" s="2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4" t="n"/>
      <c r="S586" s="1" t="n"/>
      <c r="T586" s="1" t="n"/>
      <c r="U586" s="1" t="n"/>
      <c r="V586" s="2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M586" s="1" t="n"/>
      <c r="AW586" s="1" t="n"/>
    </row>
    <row r="587" ht="20.25" customHeight="1">
      <c r="A587" s="1" t="n"/>
      <c r="B587" s="2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4" t="n"/>
      <c r="S587" s="1" t="n"/>
      <c r="T587" s="1" t="n"/>
      <c r="U587" s="1" t="n"/>
      <c r="V587" s="2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M587" s="1" t="n"/>
      <c r="AW587" s="1" t="n"/>
    </row>
    <row r="588" ht="20.25" customHeight="1">
      <c r="A588" s="1" t="n"/>
      <c r="B588" s="2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4" t="n"/>
      <c r="S588" s="1" t="n"/>
      <c r="T588" s="1" t="n"/>
      <c r="U588" s="1" t="n"/>
      <c r="V588" s="2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M588" s="1" t="n"/>
      <c r="AW588" s="1" t="n"/>
    </row>
    <row r="589" ht="20.25" customHeight="1">
      <c r="A589" s="1" t="n"/>
      <c r="B589" s="2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4" t="n"/>
      <c r="S589" s="1" t="n"/>
      <c r="T589" s="1" t="n"/>
      <c r="U589" s="1" t="n"/>
      <c r="V589" s="2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M589" s="1" t="n"/>
      <c r="AW589" s="1" t="n"/>
    </row>
    <row r="590" ht="20.25" customHeight="1">
      <c r="A590" s="1" t="n"/>
      <c r="B590" s="2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4" t="n"/>
      <c r="S590" s="1" t="n"/>
      <c r="T590" s="1" t="n"/>
      <c r="U590" s="1" t="n"/>
      <c r="V590" s="2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M590" s="1" t="n"/>
      <c r="AW590" s="1" t="n"/>
    </row>
    <row r="591" ht="20.25" customHeight="1">
      <c r="A591" s="1" t="n"/>
      <c r="B591" s="2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4" t="n"/>
      <c r="S591" s="1" t="n"/>
      <c r="T591" s="1" t="n"/>
      <c r="U591" s="1" t="n"/>
      <c r="V591" s="2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M591" s="1" t="n"/>
      <c r="AW591" s="1" t="n"/>
    </row>
    <row r="592" ht="20.25" customHeight="1">
      <c r="A592" s="1" t="n"/>
      <c r="B592" s="2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4" t="n"/>
      <c r="S592" s="1" t="n"/>
      <c r="T592" s="1" t="n"/>
      <c r="U592" s="1" t="n"/>
      <c r="V592" s="2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M592" s="1" t="n"/>
      <c r="AW592" s="1" t="n"/>
    </row>
    <row r="593" ht="20.25" customHeight="1">
      <c r="A593" s="1" t="n"/>
      <c r="B593" s="2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4" t="n"/>
      <c r="S593" s="1" t="n"/>
      <c r="T593" s="1" t="n"/>
      <c r="U593" s="1" t="n"/>
      <c r="V593" s="2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M593" s="1" t="n"/>
      <c r="AW593" s="1" t="n"/>
    </row>
    <row r="594" ht="20.25" customHeight="1">
      <c r="A594" s="1" t="n"/>
      <c r="B594" s="2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4" t="n"/>
      <c r="S594" s="1" t="n"/>
      <c r="T594" s="1" t="n"/>
      <c r="U594" s="1" t="n"/>
      <c r="V594" s="2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M594" s="1" t="n"/>
      <c r="AW594" s="1" t="n"/>
    </row>
    <row r="595" ht="20.25" customHeight="1">
      <c r="A595" s="1" t="n"/>
      <c r="B595" s="2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4" t="n"/>
      <c r="S595" s="1" t="n"/>
      <c r="T595" s="1" t="n"/>
      <c r="U595" s="1" t="n"/>
      <c r="V595" s="2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M595" s="1" t="n"/>
      <c r="AW595" s="1" t="n"/>
    </row>
    <row r="596" ht="20.25" customHeight="1">
      <c r="A596" s="1" t="n"/>
      <c r="B596" s="2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4" t="n"/>
      <c r="S596" s="1" t="n"/>
      <c r="T596" s="1" t="n"/>
      <c r="U596" s="1" t="n"/>
      <c r="V596" s="2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M596" s="1" t="n"/>
      <c r="AW596" s="1" t="n"/>
    </row>
    <row r="597" ht="20.25" customHeight="1">
      <c r="A597" s="1" t="n"/>
      <c r="B597" s="2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4" t="n"/>
      <c r="S597" s="1" t="n"/>
      <c r="T597" s="1" t="n"/>
      <c r="U597" s="1" t="n"/>
      <c r="V597" s="2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M597" s="1" t="n"/>
      <c r="AW597" s="1" t="n"/>
    </row>
    <row r="598" ht="20.25" customHeight="1">
      <c r="A598" s="1" t="n"/>
      <c r="B598" s="2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4" t="n"/>
      <c r="S598" s="1" t="n"/>
      <c r="T598" s="1" t="n"/>
      <c r="U598" s="1" t="n"/>
      <c r="V598" s="2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M598" s="1" t="n"/>
      <c r="AW598" s="1" t="n"/>
    </row>
    <row r="599" ht="20.25" customHeight="1">
      <c r="A599" s="1" t="n"/>
      <c r="B599" s="2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4" t="n"/>
      <c r="S599" s="1" t="n"/>
      <c r="T599" s="1" t="n"/>
      <c r="U599" s="1" t="n"/>
      <c r="V599" s="2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M599" s="1" t="n"/>
      <c r="AW599" s="1" t="n"/>
    </row>
    <row r="600" ht="20.25" customHeight="1">
      <c r="A600" s="1" t="n"/>
      <c r="B600" s="2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4" t="n"/>
      <c r="S600" s="1" t="n"/>
      <c r="T600" s="1" t="n"/>
      <c r="U600" s="1" t="n"/>
      <c r="V600" s="2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M600" s="1" t="n"/>
      <c r="AW600" s="1" t="n"/>
    </row>
    <row r="601" ht="20.25" customHeight="1">
      <c r="A601" s="1" t="n"/>
      <c r="B601" s="2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4" t="n"/>
      <c r="S601" s="1" t="n"/>
      <c r="T601" s="1" t="n"/>
      <c r="U601" s="1" t="n"/>
      <c r="V601" s="2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M601" s="1" t="n"/>
      <c r="AW601" s="1" t="n"/>
    </row>
    <row r="602" ht="20.25" customHeight="1">
      <c r="A602" s="1" t="n"/>
      <c r="B602" s="2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4" t="n"/>
      <c r="S602" s="1" t="n"/>
      <c r="T602" s="1" t="n"/>
      <c r="U602" s="1" t="n"/>
      <c r="V602" s="2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M602" s="1" t="n"/>
      <c r="AW602" s="1" t="n"/>
    </row>
    <row r="603" ht="20.25" customHeight="1">
      <c r="A603" s="1" t="n"/>
      <c r="B603" s="2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4" t="n"/>
      <c r="S603" s="1" t="n"/>
      <c r="T603" s="1" t="n"/>
      <c r="U603" s="1" t="n"/>
      <c r="V603" s="2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M603" s="1" t="n"/>
      <c r="AW603" s="1" t="n"/>
    </row>
    <row r="604" ht="20.25" customHeight="1">
      <c r="A604" s="1" t="n"/>
      <c r="B604" s="2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4" t="n"/>
      <c r="S604" s="1" t="n"/>
      <c r="T604" s="1" t="n"/>
      <c r="U604" s="1" t="n"/>
      <c r="V604" s="2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M604" s="1" t="n"/>
      <c r="AW604" s="1" t="n"/>
    </row>
    <row r="605" ht="20.25" customHeight="1">
      <c r="A605" s="1" t="n"/>
      <c r="B605" s="2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4" t="n"/>
      <c r="S605" s="1" t="n"/>
      <c r="T605" s="1" t="n"/>
      <c r="U605" s="1" t="n"/>
      <c r="V605" s="2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M605" s="1" t="n"/>
      <c r="AW605" s="1" t="n"/>
    </row>
    <row r="606" ht="20.25" customHeight="1">
      <c r="A606" s="1" t="n"/>
      <c r="B606" s="2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4" t="n"/>
      <c r="S606" s="1" t="n"/>
      <c r="T606" s="1" t="n"/>
      <c r="U606" s="1" t="n"/>
      <c r="V606" s="2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M606" s="1" t="n"/>
      <c r="AW606" s="1" t="n"/>
    </row>
    <row r="607" ht="20.25" customHeight="1">
      <c r="A607" s="1" t="n"/>
      <c r="B607" s="2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4" t="n"/>
      <c r="S607" s="1" t="n"/>
      <c r="T607" s="1" t="n"/>
      <c r="U607" s="1" t="n"/>
      <c r="V607" s="2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M607" s="1" t="n"/>
      <c r="AW607" s="1" t="n"/>
    </row>
    <row r="608" ht="20.25" customHeight="1">
      <c r="A608" s="1" t="n"/>
      <c r="B608" s="2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4" t="n"/>
      <c r="S608" s="1" t="n"/>
      <c r="T608" s="1" t="n"/>
      <c r="U608" s="1" t="n"/>
      <c r="V608" s="2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M608" s="1" t="n"/>
      <c r="AW608" s="1" t="n"/>
    </row>
    <row r="609" ht="20.25" customHeight="1">
      <c r="A609" s="1" t="n"/>
      <c r="B609" s="2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4" t="n"/>
      <c r="S609" s="1" t="n"/>
      <c r="T609" s="1" t="n"/>
      <c r="U609" s="1" t="n"/>
      <c r="V609" s="2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M609" s="1" t="n"/>
      <c r="AW609" s="1" t="n"/>
    </row>
    <row r="610" ht="20.25" customHeight="1">
      <c r="A610" s="1" t="n"/>
      <c r="B610" s="2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4" t="n"/>
      <c r="S610" s="1" t="n"/>
      <c r="T610" s="1" t="n"/>
      <c r="U610" s="1" t="n"/>
      <c r="V610" s="2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M610" s="1" t="n"/>
      <c r="AW610" s="1" t="n"/>
    </row>
    <row r="611" ht="20.25" customHeight="1">
      <c r="A611" s="1" t="n"/>
      <c r="B611" s="2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4" t="n"/>
      <c r="S611" s="1" t="n"/>
      <c r="T611" s="1" t="n"/>
      <c r="U611" s="1" t="n"/>
      <c r="V611" s="2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M611" s="1" t="n"/>
      <c r="AW611" s="1" t="n"/>
    </row>
    <row r="612" ht="20.25" customHeight="1">
      <c r="A612" s="1" t="n"/>
      <c r="B612" s="2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4" t="n"/>
      <c r="S612" s="1" t="n"/>
      <c r="T612" s="1" t="n"/>
      <c r="U612" s="1" t="n"/>
      <c r="V612" s="2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M612" s="1" t="n"/>
      <c r="AW612" s="1" t="n"/>
    </row>
    <row r="613" ht="20.25" customHeight="1">
      <c r="A613" s="1" t="n"/>
      <c r="B613" s="2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4" t="n"/>
      <c r="S613" s="1" t="n"/>
      <c r="T613" s="1" t="n"/>
      <c r="U613" s="1" t="n"/>
      <c r="V613" s="2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M613" s="1" t="n"/>
      <c r="AW613" s="1" t="n"/>
    </row>
    <row r="614" ht="20.25" customHeight="1">
      <c r="A614" s="1" t="n"/>
      <c r="B614" s="2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4" t="n"/>
      <c r="S614" s="1" t="n"/>
      <c r="T614" s="1" t="n"/>
      <c r="U614" s="1" t="n"/>
      <c r="V614" s="2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M614" s="1" t="n"/>
      <c r="AW614" s="1" t="n"/>
    </row>
    <row r="615" ht="20.25" customHeight="1">
      <c r="A615" s="1" t="n"/>
      <c r="B615" s="2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4" t="n"/>
      <c r="S615" s="1" t="n"/>
      <c r="T615" s="1" t="n"/>
      <c r="U615" s="1" t="n"/>
      <c r="V615" s="2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M615" s="1" t="n"/>
      <c r="AW615" s="1" t="n"/>
    </row>
    <row r="616" ht="20.25" customHeight="1">
      <c r="A616" s="1" t="n"/>
      <c r="B616" s="2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4" t="n"/>
      <c r="S616" s="1" t="n"/>
      <c r="T616" s="1" t="n"/>
      <c r="U616" s="1" t="n"/>
      <c r="V616" s="2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M616" s="1" t="n"/>
      <c r="AW616" s="1" t="n"/>
    </row>
    <row r="617" ht="20.25" customHeight="1">
      <c r="A617" s="1" t="n"/>
      <c r="B617" s="2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4" t="n"/>
      <c r="S617" s="1" t="n"/>
      <c r="T617" s="1" t="n"/>
      <c r="U617" s="1" t="n"/>
      <c r="V617" s="2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M617" s="1" t="n"/>
      <c r="AW617" s="1" t="n"/>
    </row>
    <row r="618" ht="20.25" customHeight="1">
      <c r="A618" s="1" t="n"/>
      <c r="B618" s="2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4" t="n"/>
      <c r="S618" s="1" t="n"/>
      <c r="T618" s="1" t="n"/>
      <c r="U618" s="1" t="n"/>
      <c r="V618" s="2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M618" s="1" t="n"/>
      <c r="AW618" s="1" t="n"/>
    </row>
    <row r="619" ht="20.25" customHeight="1">
      <c r="A619" s="1" t="n"/>
      <c r="B619" s="2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4" t="n"/>
      <c r="S619" s="1" t="n"/>
      <c r="T619" s="1" t="n"/>
      <c r="U619" s="1" t="n"/>
      <c r="V619" s="2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M619" s="1" t="n"/>
      <c r="AW619" s="1" t="n"/>
    </row>
    <row r="620" ht="20.25" customHeight="1">
      <c r="A620" s="1" t="n"/>
      <c r="B620" s="2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4" t="n"/>
      <c r="S620" s="1" t="n"/>
      <c r="T620" s="1" t="n"/>
      <c r="U620" s="1" t="n"/>
      <c r="V620" s="2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M620" s="1" t="n"/>
      <c r="AW620" s="1" t="n"/>
    </row>
    <row r="621" ht="20.25" customHeight="1">
      <c r="A621" s="1" t="n"/>
      <c r="B621" s="2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4" t="n"/>
      <c r="S621" s="1" t="n"/>
      <c r="T621" s="1" t="n"/>
      <c r="U621" s="1" t="n"/>
      <c r="V621" s="2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M621" s="1" t="n"/>
      <c r="AW621" s="1" t="n"/>
    </row>
    <row r="622" ht="20.25" customHeight="1">
      <c r="A622" s="1" t="n"/>
      <c r="B622" s="2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4" t="n"/>
      <c r="S622" s="1" t="n"/>
      <c r="T622" s="1" t="n"/>
      <c r="U622" s="1" t="n"/>
      <c r="V622" s="2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M622" s="1" t="n"/>
      <c r="AW622" s="1" t="n"/>
    </row>
    <row r="623" ht="20.25" customHeight="1">
      <c r="A623" s="1" t="n"/>
      <c r="B623" s="2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4" t="n"/>
      <c r="S623" s="1" t="n"/>
      <c r="T623" s="1" t="n"/>
      <c r="U623" s="1" t="n"/>
      <c r="V623" s="2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M623" s="1" t="n"/>
      <c r="AW623" s="1" t="n"/>
    </row>
    <row r="624" ht="20.25" customHeight="1">
      <c r="A624" s="1" t="n"/>
      <c r="B624" s="2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4" t="n"/>
      <c r="S624" s="1" t="n"/>
      <c r="T624" s="1" t="n"/>
      <c r="U624" s="1" t="n"/>
      <c r="V624" s="2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M624" s="1" t="n"/>
      <c r="AW624" s="1" t="n"/>
    </row>
    <row r="625" ht="20.25" customHeight="1">
      <c r="A625" s="1" t="n"/>
      <c r="B625" s="2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4" t="n"/>
      <c r="S625" s="1" t="n"/>
      <c r="T625" s="1" t="n"/>
      <c r="U625" s="1" t="n"/>
      <c r="V625" s="2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M625" s="1" t="n"/>
      <c r="AW625" s="1" t="n"/>
    </row>
    <row r="626" ht="20.25" customHeight="1">
      <c r="A626" s="1" t="n"/>
      <c r="B626" s="2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4" t="n"/>
      <c r="S626" s="1" t="n"/>
      <c r="T626" s="1" t="n"/>
      <c r="U626" s="1" t="n"/>
      <c r="V626" s="2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M626" s="1" t="n"/>
      <c r="AW626" s="1" t="n"/>
    </row>
    <row r="627" ht="20.25" customHeight="1">
      <c r="A627" s="1" t="n"/>
      <c r="B627" s="2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4" t="n"/>
      <c r="S627" s="1" t="n"/>
      <c r="T627" s="1" t="n"/>
      <c r="U627" s="1" t="n"/>
      <c r="V627" s="2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M627" s="1" t="n"/>
      <c r="AW627" s="1" t="n"/>
    </row>
    <row r="628" ht="20.25" customHeight="1">
      <c r="A628" s="1" t="n"/>
      <c r="B628" s="2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4" t="n"/>
      <c r="S628" s="1" t="n"/>
      <c r="T628" s="1" t="n"/>
      <c r="U628" s="1" t="n"/>
      <c r="V628" s="2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M628" s="1" t="n"/>
      <c r="AW628" s="1" t="n"/>
    </row>
    <row r="629" ht="20.25" customHeight="1">
      <c r="A629" s="1" t="n"/>
      <c r="B629" s="2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4" t="n"/>
      <c r="S629" s="1" t="n"/>
      <c r="T629" s="1" t="n"/>
      <c r="U629" s="1" t="n"/>
      <c r="V629" s="2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M629" s="1" t="n"/>
      <c r="AW629" s="1" t="n"/>
    </row>
    <row r="630" ht="20.25" customHeight="1">
      <c r="A630" s="1" t="n"/>
      <c r="B630" s="2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4" t="n"/>
      <c r="S630" s="1" t="n"/>
      <c r="T630" s="1" t="n"/>
      <c r="U630" s="1" t="n"/>
      <c r="V630" s="2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M630" s="1" t="n"/>
      <c r="AW630" s="1" t="n"/>
    </row>
    <row r="631" ht="20.25" customHeight="1">
      <c r="A631" s="1" t="n"/>
      <c r="B631" s="2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4" t="n"/>
      <c r="S631" s="1" t="n"/>
      <c r="T631" s="1" t="n"/>
      <c r="U631" s="1" t="n"/>
      <c r="V631" s="2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M631" s="1" t="n"/>
      <c r="AW631" s="1" t="n"/>
    </row>
    <row r="632" ht="20.25" customHeight="1">
      <c r="A632" s="1" t="n"/>
      <c r="B632" s="2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4" t="n"/>
      <c r="S632" s="1" t="n"/>
      <c r="T632" s="1" t="n"/>
      <c r="U632" s="1" t="n"/>
      <c r="V632" s="2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M632" s="1" t="n"/>
      <c r="AW632" s="1" t="n"/>
    </row>
    <row r="633" ht="20.25" customHeight="1">
      <c r="A633" s="1" t="n"/>
      <c r="B633" s="2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4" t="n"/>
      <c r="S633" s="1" t="n"/>
      <c r="T633" s="1" t="n"/>
      <c r="U633" s="1" t="n"/>
      <c r="V633" s="2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M633" s="1" t="n"/>
      <c r="AW633" s="1" t="n"/>
    </row>
    <row r="634" ht="20.25" customHeight="1">
      <c r="A634" s="1" t="n"/>
      <c r="B634" s="2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4" t="n"/>
      <c r="S634" s="1" t="n"/>
      <c r="T634" s="1" t="n"/>
      <c r="U634" s="1" t="n"/>
      <c r="V634" s="2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M634" s="1" t="n"/>
      <c r="AW634" s="1" t="n"/>
    </row>
    <row r="635" ht="20.25" customHeight="1">
      <c r="A635" s="1" t="n"/>
      <c r="B635" s="2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4" t="n"/>
      <c r="S635" s="1" t="n"/>
      <c r="T635" s="1" t="n"/>
      <c r="U635" s="1" t="n"/>
      <c r="V635" s="2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M635" s="1" t="n"/>
      <c r="AW635" s="1" t="n"/>
    </row>
    <row r="636" ht="20.25" customHeight="1">
      <c r="A636" s="1" t="n"/>
      <c r="B636" s="2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4" t="n"/>
      <c r="S636" s="1" t="n"/>
      <c r="T636" s="1" t="n"/>
      <c r="U636" s="1" t="n"/>
      <c r="V636" s="2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M636" s="1" t="n"/>
      <c r="AW636" s="1" t="n"/>
    </row>
    <row r="637" ht="20.25" customHeight="1">
      <c r="A637" s="1" t="n"/>
      <c r="B637" s="2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4" t="n"/>
      <c r="S637" s="1" t="n"/>
      <c r="T637" s="1" t="n"/>
      <c r="U637" s="1" t="n"/>
      <c r="V637" s="2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M637" s="1" t="n"/>
      <c r="AW637" s="1" t="n"/>
    </row>
    <row r="638" ht="20.25" customHeight="1">
      <c r="A638" s="1" t="n"/>
      <c r="B638" s="2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4" t="n"/>
      <c r="S638" s="1" t="n"/>
      <c r="T638" s="1" t="n"/>
      <c r="U638" s="1" t="n"/>
      <c r="V638" s="2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M638" s="1" t="n"/>
      <c r="AW638" s="1" t="n"/>
    </row>
    <row r="639" ht="20.25" customHeight="1">
      <c r="A639" s="1" t="n"/>
      <c r="B639" s="2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4" t="n"/>
      <c r="S639" s="1" t="n"/>
      <c r="T639" s="1" t="n"/>
      <c r="U639" s="1" t="n"/>
      <c r="V639" s="2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M639" s="1" t="n"/>
      <c r="AW639" s="1" t="n"/>
    </row>
    <row r="640" ht="20.25" customHeight="1">
      <c r="A640" s="1" t="n"/>
      <c r="B640" s="2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4" t="n"/>
      <c r="S640" s="1" t="n"/>
      <c r="T640" s="1" t="n"/>
      <c r="U640" s="1" t="n"/>
      <c r="V640" s="2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M640" s="1" t="n"/>
      <c r="AW640" s="1" t="n"/>
    </row>
    <row r="641" ht="20.25" customHeight="1">
      <c r="A641" s="1" t="n"/>
      <c r="B641" s="2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4" t="n"/>
      <c r="S641" s="1" t="n"/>
      <c r="T641" s="1" t="n"/>
      <c r="U641" s="1" t="n"/>
      <c r="V641" s="2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M641" s="1" t="n"/>
      <c r="AW641" s="1" t="n"/>
    </row>
    <row r="642" ht="20.25" customHeight="1">
      <c r="A642" s="1" t="n"/>
      <c r="B642" s="2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4" t="n"/>
      <c r="S642" s="1" t="n"/>
      <c r="T642" s="1" t="n"/>
      <c r="U642" s="1" t="n"/>
      <c r="V642" s="2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M642" s="1" t="n"/>
      <c r="AW642" s="1" t="n"/>
    </row>
    <row r="643" ht="20.25" customHeight="1">
      <c r="A643" s="1" t="n"/>
      <c r="B643" s="2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4" t="n"/>
      <c r="S643" s="1" t="n"/>
      <c r="T643" s="1" t="n"/>
      <c r="U643" s="1" t="n"/>
      <c r="V643" s="2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M643" s="1" t="n"/>
      <c r="AW643" s="1" t="n"/>
    </row>
    <row r="644" ht="20.25" customHeight="1">
      <c r="A644" s="1" t="n"/>
      <c r="B644" s="2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4" t="n"/>
      <c r="S644" s="1" t="n"/>
      <c r="T644" s="1" t="n"/>
      <c r="U644" s="1" t="n"/>
      <c r="V644" s="2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M644" s="1" t="n"/>
      <c r="AW644" s="1" t="n"/>
    </row>
    <row r="645" ht="20.25" customHeight="1">
      <c r="A645" s="1" t="n"/>
      <c r="B645" s="2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4" t="n"/>
      <c r="S645" s="1" t="n"/>
      <c r="T645" s="1" t="n"/>
      <c r="U645" s="1" t="n"/>
      <c r="V645" s="2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M645" s="1" t="n"/>
      <c r="AW645" s="1" t="n"/>
    </row>
    <row r="646" ht="20.25" customHeight="1">
      <c r="A646" s="1" t="n"/>
      <c r="B646" s="2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4" t="n"/>
      <c r="S646" s="1" t="n"/>
      <c r="T646" s="1" t="n"/>
      <c r="U646" s="1" t="n"/>
      <c r="V646" s="2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M646" s="1" t="n"/>
      <c r="AW646" s="1" t="n"/>
    </row>
    <row r="647" ht="20.25" customHeight="1">
      <c r="A647" s="1" t="n"/>
      <c r="B647" s="2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4" t="n"/>
      <c r="S647" s="1" t="n"/>
      <c r="T647" s="1" t="n"/>
      <c r="U647" s="1" t="n"/>
      <c r="V647" s="2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M647" s="1" t="n"/>
      <c r="AW647" s="1" t="n"/>
    </row>
    <row r="648" ht="20.25" customHeight="1">
      <c r="A648" s="1" t="n"/>
      <c r="B648" s="2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4" t="n"/>
      <c r="S648" s="1" t="n"/>
      <c r="T648" s="1" t="n"/>
      <c r="U648" s="1" t="n"/>
      <c r="V648" s="2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M648" s="1" t="n"/>
      <c r="AW648" s="1" t="n"/>
    </row>
    <row r="649" ht="20.25" customHeight="1">
      <c r="A649" s="1" t="n"/>
      <c r="B649" s="2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4" t="n"/>
      <c r="S649" s="1" t="n"/>
      <c r="T649" s="1" t="n"/>
      <c r="U649" s="1" t="n"/>
      <c r="V649" s="2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M649" s="1" t="n"/>
      <c r="AW649" s="1" t="n"/>
    </row>
    <row r="650" ht="20.25" customHeight="1">
      <c r="A650" s="1" t="n"/>
      <c r="B650" s="2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4" t="n"/>
      <c r="S650" s="1" t="n"/>
      <c r="T650" s="1" t="n"/>
      <c r="U650" s="1" t="n"/>
      <c r="V650" s="2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M650" s="1" t="n"/>
      <c r="AW650" s="1" t="n"/>
    </row>
    <row r="651" ht="20.25" customHeight="1">
      <c r="A651" s="1" t="n"/>
      <c r="B651" s="2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4" t="n"/>
      <c r="S651" s="1" t="n"/>
      <c r="T651" s="1" t="n"/>
      <c r="U651" s="1" t="n"/>
      <c r="V651" s="2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M651" s="1" t="n"/>
      <c r="AW651" s="1" t="n"/>
    </row>
    <row r="652" ht="20.25" customHeight="1">
      <c r="A652" s="1" t="n"/>
      <c r="B652" s="2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4" t="n"/>
      <c r="S652" s="1" t="n"/>
      <c r="T652" s="1" t="n"/>
      <c r="U652" s="1" t="n"/>
      <c r="V652" s="2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M652" s="1" t="n"/>
      <c r="AW652" s="1" t="n"/>
    </row>
    <row r="653" ht="20.25" customHeight="1">
      <c r="A653" s="1" t="n"/>
      <c r="B653" s="2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4" t="n"/>
      <c r="S653" s="1" t="n"/>
      <c r="T653" s="1" t="n"/>
      <c r="U653" s="1" t="n"/>
      <c r="V653" s="2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M653" s="1" t="n"/>
      <c r="AW653" s="1" t="n"/>
    </row>
    <row r="654" ht="20.25" customHeight="1">
      <c r="A654" s="1" t="n"/>
      <c r="B654" s="2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4" t="n"/>
      <c r="S654" s="1" t="n"/>
      <c r="T654" s="1" t="n"/>
      <c r="U654" s="1" t="n"/>
      <c r="V654" s="2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M654" s="1" t="n"/>
      <c r="AW654" s="1" t="n"/>
    </row>
    <row r="655" ht="20.25" customHeight="1">
      <c r="A655" s="1" t="n"/>
      <c r="B655" s="2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4" t="n"/>
      <c r="S655" s="1" t="n"/>
      <c r="T655" s="1" t="n"/>
      <c r="U655" s="1" t="n"/>
      <c r="V655" s="2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M655" s="1" t="n"/>
      <c r="AW655" s="1" t="n"/>
    </row>
    <row r="656" ht="20.25" customHeight="1">
      <c r="A656" s="1" t="n"/>
      <c r="B656" s="2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4" t="n"/>
      <c r="S656" s="1" t="n"/>
      <c r="T656" s="1" t="n"/>
      <c r="U656" s="1" t="n"/>
      <c r="V656" s="2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M656" s="1" t="n"/>
      <c r="AW656" s="1" t="n"/>
    </row>
    <row r="657" ht="20.25" customHeight="1">
      <c r="A657" s="1" t="n"/>
      <c r="B657" s="2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4" t="n"/>
      <c r="S657" s="1" t="n"/>
      <c r="T657" s="1" t="n"/>
      <c r="U657" s="1" t="n"/>
      <c r="V657" s="2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M657" s="1" t="n"/>
      <c r="AW657" s="1" t="n"/>
    </row>
    <row r="658" ht="20.25" customHeight="1">
      <c r="A658" s="1" t="n"/>
      <c r="B658" s="2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4" t="n"/>
      <c r="S658" s="1" t="n"/>
      <c r="T658" s="1" t="n"/>
      <c r="U658" s="1" t="n"/>
      <c r="V658" s="2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M658" s="1" t="n"/>
      <c r="AW658" s="1" t="n"/>
    </row>
    <row r="659" ht="20.25" customHeight="1">
      <c r="A659" s="1" t="n"/>
      <c r="B659" s="2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4" t="n"/>
      <c r="S659" s="1" t="n"/>
      <c r="T659" s="1" t="n"/>
      <c r="U659" s="1" t="n"/>
      <c r="V659" s="2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M659" s="1" t="n"/>
      <c r="AW659" s="1" t="n"/>
    </row>
    <row r="660" ht="20.25" customHeight="1">
      <c r="A660" s="1" t="n"/>
      <c r="B660" s="2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4" t="n"/>
      <c r="S660" s="1" t="n"/>
      <c r="T660" s="1" t="n"/>
      <c r="U660" s="1" t="n"/>
      <c r="V660" s="2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M660" s="1" t="n"/>
      <c r="AW660" s="1" t="n"/>
    </row>
    <row r="661" ht="20.25" customHeight="1">
      <c r="A661" s="1" t="n"/>
      <c r="B661" s="2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4" t="n"/>
      <c r="S661" s="1" t="n"/>
      <c r="T661" s="1" t="n"/>
      <c r="U661" s="1" t="n"/>
      <c r="V661" s="2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M661" s="1" t="n"/>
      <c r="AW661" s="1" t="n"/>
    </row>
    <row r="662" ht="20.25" customHeight="1">
      <c r="A662" s="1" t="n"/>
      <c r="B662" s="2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4" t="n"/>
      <c r="S662" s="1" t="n"/>
      <c r="T662" s="1" t="n"/>
      <c r="U662" s="1" t="n"/>
      <c r="V662" s="2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M662" s="1" t="n"/>
      <c r="AW662" s="1" t="n"/>
    </row>
    <row r="663" ht="20.25" customHeight="1">
      <c r="A663" s="1" t="n"/>
      <c r="B663" s="2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4" t="n"/>
      <c r="S663" s="1" t="n"/>
      <c r="T663" s="1" t="n"/>
      <c r="U663" s="1" t="n"/>
      <c r="V663" s="2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M663" s="1" t="n"/>
      <c r="AW663" s="1" t="n"/>
    </row>
    <row r="664" ht="20.25" customHeight="1">
      <c r="A664" s="1" t="n"/>
      <c r="B664" s="2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4" t="n"/>
      <c r="S664" s="1" t="n"/>
      <c r="T664" s="1" t="n"/>
      <c r="U664" s="1" t="n"/>
      <c r="V664" s="2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M664" s="1" t="n"/>
      <c r="AW664" s="1" t="n"/>
    </row>
    <row r="665" ht="20.25" customHeight="1">
      <c r="A665" s="1" t="n"/>
      <c r="B665" s="2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4" t="n"/>
      <c r="S665" s="1" t="n"/>
      <c r="T665" s="1" t="n"/>
      <c r="U665" s="1" t="n"/>
      <c r="V665" s="2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M665" s="1" t="n"/>
      <c r="AW665" s="1" t="n"/>
    </row>
    <row r="666" ht="20.25" customHeight="1">
      <c r="A666" s="1" t="n"/>
      <c r="B666" s="2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4" t="n"/>
      <c r="S666" s="1" t="n"/>
      <c r="T666" s="1" t="n"/>
      <c r="U666" s="1" t="n"/>
      <c r="V666" s="2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M666" s="1" t="n"/>
      <c r="AW666" s="1" t="n"/>
    </row>
    <row r="667" ht="20.25" customHeight="1">
      <c r="A667" s="1" t="n"/>
      <c r="B667" s="2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4" t="n"/>
      <c r="S667" s="1" t="n"/>
      <c r="T667" s="1" t="n"/>
      <c r="U667" s="1" t="n"/>
      <c r="V667" s="2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M667" s="1" t="n"/>
      <c r="AW667" s="1" t="n"/>
    </row>
    <row r="668" ht="20.25" customHeight="1">
      <c r="A668" s="1" t="n"/>
      <c r="B668" s="2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4" t="n"/>
      <c r="S668" s="1" t="n"/>
      <c r="T668" s="1" t="n"/>
      <c r="U668" s="1" t="n"/>
      <c r="V668" s="2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M668" s="1" t="n"/>
      <c r="AW668" s="1" t="n"/>
    </row>
    <row r="669" ht="20.25" customHeight="1">
      <c r="A669" s="1" t="n"/>
      <c r="B669" s="2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4" t="n"/>
      <c r="S669" s="1" t="n"/>
      <c r="T669" s="1" t="n"/>
      <c r="U669" s="1" t="n"/>
      <c r="V669" s="2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M669" s="1" t="n"/>
      <c r="AW669" s="1" t="n"/>
    </row>
    <row r="670" ht="20.25" customHeight="1">
      <c r="A670" s="1" t="n"/>
      <c r="B670" s="2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4" t="n"/>
      <c r="S670" s="1" t="n"/>
      <c r="T670" s="1" t="n"/>
      <c r="U670" s="1" t="n"/>
      <c r="V670" s="2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M670" s="1" t="n"/>
      <c r="AW670" s="1" t="n"/>
    </row>
    <row r="671" ht="20.25" customHeight="1">
      <c r="A671" s="1" t="n"/>
      <c r="B671" s="2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4" t="n"/>
      <c r="S671" s="1" t="n"/>
      <c r="T671" s="1" t="n"/>
      <c r="U671" s="1" t="n"/>
      <c r="V671" s="2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M671" s="1" t="n"/>
      <c r="AW671" s="1" t="n"/>
    </row>
    <row r="672" ht="20.25" customHeight="1">
      <c r="A672" s="1" t="n"/>
      <c r="B672" s="2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4" t="n"/>
      <c r="S672" s="1" t="n"/>
      <c r="T672" s="1" t="n"/>
      <c r="U672" s="1" t="n"/>
      <c r="V672" s="2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M672" s="1" t="n"/>
      <c r="AW672" s="1" t="n"/>
    </row>
    <row r="673" ht="20.25" customHeight="1">
      <c r="A673" s="1" t="n"/>
      <c r="B673" s="2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4" t="n"/>
      <c r="S673" s="1" t="n"/>
      <c r="T673" s="1" t="n"/>
      <c r="U673" s="1" t="n"/>
      <c r="V673" s="2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M673" s="1" t="n"/>
      <c r="AW673" s="1" t="n"/>
    </row>
    <row r="674" ht="20.25" customHeight="1">
      <c r="A674" s="1" t="n"/>
      <c r="B674" s="2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4" t="n"/>
      <c r="S674" s="1" t="n"/>
      <c r="T674" s="1" t="n"/>
      <c r="U674" s="1" t="n"/>
      <c r="V674" s="2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M674" s="1" t="n"/>
      <c r="AW674" s="1" t="n"/>
    </row>
    <row r="675" ht="20.25" customHeight="1">
      <c r="A675" s="1" t="n"/>
      <c r="B675" s="2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4" t="n"/>
      <c r="S675" s="1" t="n"/>
      <c r="T675" s="1" t="n"/>
      <c r="U675" s="1" t="n"/>
      <c r="V675" s="2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M675" s="1" t="n"/>
      <c r="AW675" s="1" t="n"/>
    </row>
    <row r="676" ht="20.25" customHeight="1">
      <c r="A676" s="1" t="n"/>
      <c r="B676" s="2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4" t="n"/>
      <c r="S676" s="1" t="n"/>
      <c r="T676" s="1" t="n"/>
      <c r="U676" s="1" t="n"/>
      <c r="V676" s="2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M676" s="1" t="n"/>
      <c r="AW676" s="1" t="n"/>
    </row>
    <row r="677" ht="20.25" customHeight="1">
      <c r="A677" s="1" t="n"/>
      <c r="B677" s="2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4" t="n"/>
      <c r="S677" s="1" t="n"/>
      <c r="T677" s="1" t="n"/>
      <c r="U677" s="1" t="n"/>
      <c r="V677" s="2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M677" s="1" t="n"/>
      <c r="AW677" s="1" t="n"/>
    </row>
    <row r="678" ht="20.25" customHeight="1">
      <c r="A678" s="1" t="n"/>
      <c r="B678" s="2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4" t="n"/>
      <c r="S678" s="1" t="n"/>
      <c r="T678" s="1" t="n"/>
      <c r="U678" s="1" t="n"/>
      <c r="V678" s="2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M678" s="1" t="n"/>
      <c r="AW678" s="1" t="n"/>
    </row>
    <row r="679" ht="20.25" customHeight="1">
      <c r="A679" s="1" t="n"/>
      <c r="B679" s="2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4" t="n"/>
      <c r="S679" s="1" t="n"/>
      <c r="T679" s="1" t="n"/>
      <c r="U679" s="1" t="n"/>
      <c r="V679" s="2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M679" s="1" t="n"/>
      <c r="AW679" s="1" t="n"/>
    </row>
    <row r="680" ht="20.25" customHeight="1">
      <c r="A680" s="1" t="n"/>
      <c r="B680" s="2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4" t="n"/>
      <c r="S680" s="1" t="n"/>
      <c r="T680" s="1" t="n"/>
      <c r="U680" s="1" t="n"/>
      <c r="V680" s="2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M680" s="1" t="n"/>
      <c r="AW680" s="1" t="n"/>
    </row>
    <row r="681" ht="20.25" customHeight="1">
      <c r="A681" s="1" t="n"/>
      <c r="B681" s="2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4" t="n"/>
      <c r="S681" s="1" t="n"/>
      <c r="T681" s="1" t="n"/>
      <c r="U681" s="1" t="n"/>
      <c r="V681" s="2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M681" s="1" t="n"/>
      <c r="AW681" s="1" t="n"/>
    </row>
    <row r="682" ht="20.25" customHeight="1">
      <c r="A682" s="1" t="n"/>
      <c r="B682" s="2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4" t="n"/>
      <c r="S682" s="1" t="n"/>
      <c r="T682" s="1" t="n"/>
      <c r="U682" s="1" t="n"/>
      <c r="V682" s="2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M682" s="1" t="n"/>
      <c r="AW682" s="1" t="n"/>
    </row>
    <row r="683" ht="20.25" customHeight="1">
      <c r="A683" s="1" t="n"/>
      <c r="B683" s="2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4" t="n"/>
      <c r="S683" s="1" t="n"/>
      <c r="T683" s="1" t="n"/>
      <c r="U683" s="1" t="n"/>
      <c r="V683" s="2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M683" s="1" t="n"/>
      <c r="AW683" s="1" t="n"/>
    </row>
    <row r="684" ht="20.25" customHeight="1">
      <c r="A684" s="1" t="n"/>
      <c r="B684" s="2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4" t="n"/>
      <c r="S684" s="1" t="n"/>
      <c r="T684" s="1" t="n"/>
      <c r="U684" s="1" t="n"/>
      <c r="V684" s="2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M684" s="1" t="n"/>
      <c r="AW684" s="1" t="n"/>
    </row>
    <row r="685" ht="20.25" customHeight="1">
      <c r="A685" s="1" t="n"/>
      <c r="B685" s="2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4" t="n"/>
      <c r="S685" s="1" t="n"/>
      <c r="T685" s="1" t="n"/>
      <c r="U685" s="1" t="n"/>
      <c r="V685" s="2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M685" s="1" t="n"/>
      <c r="AW685" s="1" t="n"/>
    </row>
    <row r="686" ht="20.25" customHeight="1">
      <c r="A686" s="1" t="n"/>
      <c r="B686" s="2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4" t="n"/>
      <c r="S686" s="1" t="n"/>
      <c r="T686" s="1" t="n"/>
      <c r="U686" s="1" t="n"/>
      <c r="V686" s="2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M686" s="1" t="n"/>
      <c r="AW686" s="1" t="n"/>
    </row>
    <row r="687" ht="20.25" customHeight="1">
      <c r="A687" s="1" t="n"/>
      <c r="B687" s="2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4" t="n"/>
      <c r="S687" s="1" t="n"/>
      <c r="T687" s="1" t="n"/>
      <c r="U687" s="1" t="n"/>
      <c r="V687" s="2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M687" s="1" t="n"/>
      <c r="AW687" s="1" t="n"/>
    </row>
    <row r="688" ht="20.25" customHeight="1">
      <c r="A688" s="1" t="n"/>
      <c r="B688" s="2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4" t="n"/>
      <c r="S688" s="1" t="n"/>
      <c r="T688" s="1" t="n"/>
      <c r="U688" s="1" t="n"/>
      <c r="V688" s="2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M688" s="1" t="n"/>
      <c r="AW688" s="1" t="n"/>
    </row>
    <row r="689" ht="20.25" customHeight="1">
      <c r="A689" s="1" t="n"/>
      <c r="B689" s="2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4" t="n"/>
      <c r="S689" s="1" t="n"/>
      <c r="T689" s="1" t="n"/>
      <c r="U689" s="1" t="n"/>
      <c r="V689" s="2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M689" s="1" t="n"/>
      <c r="AW689" s="1" t="n"/>
    </row>
    <row r="690" ht="20.25" customHeight="1">
      <c r="A690" s="1" t="n"/>
      <c r="B690" s="2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4" t="n"/>
      <c r="S690" s="1" t="n"/>
      <c r="T690" s="1" t="n"/>
      <c r="U690" s="1" t="n"/>
      <c r="V690" s="2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M690" s="1" t="n"/>
      <c r="AW690" s="1" t="n"/>
    </row>
    <row r="691" ht="20.25" customHeight="1">
      <c r="A691" s="1" t="n"/>
      <c r="B691" s="2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4" t="n"/>
      <c r="S691" s="1" t="n"/>
      <c r="T691" s="1" t="n"/>
      <c r="U691" s="1" t="n"/>
      <c r="V691" s="2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M691" s="1" t="n"/>
      <c r="AW691" s="1" t="n"/>
    </row>
    <row r="692" ht="20.25" customHeight="1">
      <c r="A692" s="1" t="n"/>
      <c r="B692" s="2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4" t="n"/>
      <c r="S692" s="1" t="n"/>
      <c r="T692" s="1" t="n"/>
      <c r="U692" s="1" t="n"/>
      <c r="V692" s="2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M692" s="1" t="n"/>
      <c r="AW692" s="1" t="n"/>
    </row>
    <row r="693" ht="20.25" customHeight="1">
      <c r="A693" s="1" t="n"/>
      <c r="B693" s="2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4" t="n"/>
      <c r="S693" s="1" t="n"/>
      <c r="T693" s="1" t="n"/>
      <c r="U693" s="1" t="n"/>
      <c r="V693" s="2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M693" s="1" t="n"/>
      <c r="AW693" s="1" t="n"/>
    </row>
    <row r="694" ht="20.25" customHeight="1">
      <c r="A694" s="1" t="n"/>
      <c r="B694" s="2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4" t="n"/>
      <c r="S694" s="1" t="n"/>
      <c r="T694" s="1" t="n"/>
      <c r="U694" s="1" t="n"/>
      <c r="V694" s="2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M694" s="1" t="n"/>
      <c r="AW694" s="1" t="n"/>
    </row>
    <row r="695" ht="20.25" customHeight="1">
      <c r="A695" s="1" t="n"/>
      <c r="B695" s="2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4" t="n"/>
      <c r="S695" s="1" t="n"/>
      <c r="T695" s="1" t="n"/>
      <c r="U695" s="1" t="n"/>
      <c r="V695" s="2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M695" s="1" t="n"/>
      <c r="AW695" s="1" t="n"/>
    </row>
    <row r="696" ht="20.25" customHeight="1">
      <c r="A696" s="1" t="n"/>
      <c r="B696" s="2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4" t="n"/>
      <c r="S696" s="1" t="n"/>
      <c r="T696" s="1" t="n"/>
      <c r="U696" s="1" t="n"/>
      <c r="V696" s="2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M696" s="1" t="n"/>
      <c r="AW696" s="1" t="n"/>
    </row>
    <row r="697" ht="20.25" customHeight="1">
      <c r="A697" s="1" t="n"/>
      <c r="B697" s="2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4" t="n"/>
      <c r="S697" s="1" t="n"/>
      <c r="T697" s="1" t="n"/>
      <c r="U697" s="1" t="n"/>
      <c r="V697" s="2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M697" s="1" t="n"/>
      <c r="AW697" s="1" t="n"/>
    </row>
    <row r="698" ht="20.25" customHeight="1">
      <c r="A698" s="1" t="n"/>
      <c r="B698" s="2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4" t="n"/>
      <c r="S698" s="1" t="n"/>
      <c r="T698" s="1" t="n"/>
      <c r="U698" s="1" t="n"/>
      <c r="V698" s="2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M698" s="1" t="n"/>
      <c r="AW698" s="1" t="n"/>
    </row>
    <row r="699" ht="20.25" customHeight="1">
      <c r="A699" s="1" t="n"/>
      <c r="B699" s="2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4" t="n"/>
      <c r="S699" s="1" t="n"/>
      <c r="T699" s="1" t="n"/>
      <c r="U699" s="1" t="n"/>
      <c r="V699" s="2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M699" s="1" t="n"/>
      <c r="AW699" s="1" t="n"/>
    </row>
    <row r="700" ht="20.25" customHeight="1">
      <c r="A700" s="1" t="n"/>
      <c r="B700" s="2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4" t="n"/>
      <c r="S700" s="1" t="n"/>
      <c r="T700" s="1" t="n"/>
      <c r="U700" s="1" t="n"/>
      <c r="V700" s="2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M700" s="1" t="n"/>
      <c r="AW700" s="1" t="n"/>
    </row>
    <row r="701" ht="20.25" customHeight="1">
      <c r="A701" s="1" t="n"/>
      <c r="B701" s="2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4" t="n"/>
      <c r="S701" s="1" t="n"/>
      <c r="T701" s="1" t="n"/>
      <c r="U701" s="1" t="n"/>
      <c r="V701" s="2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M701" s="1" t="n"/>
      <c r="AW701" s="1" t="n"/>
    </row>
    <row r="702" ht="20.25" customHeight="1">
      <c r="A702" s="1" t="n"/>
      <c r="B702" s="2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4" t="n"/>
      <c r="S702" s="1" t="n"/>
      <c r="T702" s="1" t="n"/>
      <c r="U702" s="1" t="n"/>
      <c r="V702" s="2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M702" s="1" t="n"/>
      <c r="AW702" s="1" t="n"/>
    </row>
    <row r="703" ht="20.25" customHeight="1">
      <c r="A703" s="1" t="n"/>
      <c r="B703" s="2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4" t="n"/>
      <c r="S703" s="1" t="n"/>
      <c r="T703" s="1" t="n"/>
      <c r="U703" s="1" t="n"/>
      <c r="V703" s="2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M703" s="1" t="n"/>
      <c r="AW703" s="1" t="n"/>
    </row>
    <row r="704" ht="20.25" customHeight="1">
      <c r="A704" s="1" t="n"/>
      <c r="B704" s="2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4" t="n"/>
      <c r="S704" s="1" t="n"/>
      <c r="T704" s="1" t="n"/>
      <c r="U704" s="1" t="n"/>
      <c r="V704" s="2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M704" s="1" t="n"/>
      <c r="AW704" s="1" t="n"/>
    </row>
    <row r="705" ht="20.25" customHeight="1">
      <c r="A705" s="1" t="n"/>
      <c r="B705" s="2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4" t="n"/>
      <c r="S705" s="1" t="n"/>
      <c r="T705" s="1" t="n"/>
      <c r="U705" s="1" t="n"/>
      <c r="V705" s="2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M705" s="1" t="n"/>
      <c r="AW705" s="1" t="n"/>
    </row>
    <row r="706" ht="20.25" customHeight="1">
      <c r="A706" s="1" t="n"/>
      <c r="B706" s="2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4" t="n"/>
      <c r="S706" s="1" t="n"/>
      <c r="T706" s="1" t="n"/>
      <c r="U706" s="1" t="n"/>
      <c r="V706" s="2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M706" s="1" t="n"/>
      <c r="AW706" s="1" t="n"/>
    </row>
    <row r="707" ht="20.25" customHeight="1">
      <c r="A707" s="1" t="n"/>
      <c r="B707" s="2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4" t="n"/>
      <c r="S707" s="1" t="n"/>
      <c r="T707" s="1" t="n"/>
      <c r="U707" s="1" t="n"/>
      <c r="V707" s="2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M707" s="1" t="n"/>
      <c r="AW707" s="1" t="n"/>
    </row>
    <row r="708" ht="20.25" customHeight="1">
      <c r="A708" s="1" t="n"/>
      <c r="B708" s="2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4" t="n"/>
      <c r="S708" s="1" t="n"/>
      <c r="T708" s="1" t="n"/>
      <c r="U708" s="1" t="n"/>
      <c r="V708" s="2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M708" s="1" t="n"/>
      <c r="AW708" s="1" t="n"/>
    </row>
    <row r="709" ht="20.25" customHeight="1">
      <c r="A709" s="1" t="n"/>
      <c r="B709" s="2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4" t="n"/>
      <c r="S709" s="1" t="n"/>
      <c r="T709" s="1" t="n"/>
      <c r="U709" s="1" t="n"/>
      <c r="V709" s="2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M709" s="1" t="n"/>
      <c r="AW709" s="1" t="n"/>
    </row>
    <row r="710" ht="20.25" customHeight="1">
      <c r="A710" s="1" t="n"/>
      <c r="B710" s="2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4" t="n"/>
      <c r="S710" s="1" t="n"/>
      <c r="T710" s="1" t="n"/>
      <c r="U710" s="1" t="n"/>
      <c r="V710" s="2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M710" s="1" t="n"/>
      <c r="AW710" s="1" t="n"/>
    </row>
    <row r="711" ht="20.25" customHeight="1">
      <c r="A711" s="1" t="n"/>
      <c r="B711" s="2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4" t="n"/>
      <c r="S711" s="1" t="n"/>
      <c r="T711" s="1" t="n"/>
      <c r="U711" s="1" t="n"/>
      <c r="V711" s="2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M711" s="1" t="n"/>
      <c r="AW711" s="1" t="n"/>
    </row>
    <row r="712" ht="20.25" customHeight="1">
      <c r="A712" s="1" t="n"/>
      <c r="B712" s="2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4" t="n"/>
      <c r="S712" s="1" t="n"/>
      <c r="T712" s="1" t="n"/>
      <c r="U712" s="1" t="n"/>
      <c r="V712" s="2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M712" s="1" t="n"/>
      <c r="AW712" s="1" t="n"/>
    </row>
    <row r="713" ht="20.25" customHeight="1">
      <c r="A713" s="1" t="n"/>
      <c r="B713" s="2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4" t="n"/>
      <c r="S713" s="1" t="n"/>
      <c r="T713" s="1" t="n"/>
      <c r="U713" s="1" t="n"/>
      <c r="V713" s="2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M713" s="1" t="n"/>
      <c r="AW713" s="1" t="n"/>
    </row>
    <row r="714" ht="20.25" customHeight="1">
      <c r="A714" s="1" t="n"/>
      <c r="B714" s="2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4" t="n"/>
      <c r="S714" s="1" t="n"/>
      <c r="T714" s="1" t="n"/>
      <c r="U714" s="1" t="n"/>
      <c r="V714" s="2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M714" s="1" t="n"/>
      <c r="AW714" s="1" t="n"/>
    </row>
    <row r="715" ht="20.25" customHeight="1">
      <c r="A715" s="1" t="n"/>
      <c r="B715" s="2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4" t="n"/>
      <c r="S715" s="1" t="n"/>
      <c r="T715" s="1" t="n"/>
      <c r="U715" s="1" t="n"/>
      <c r="V715" s="2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M715" s="1" t="n"/>
      <c r="AW715" s="1" t="n"/>
    </row>
    <row r="716" ht="20.25" customHeight="1">
      <c r="A716" s="1" t="n"/>
      <c r="B716" s="2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4" t="n"/>
      <c r="S716" s="1" t="n"/>
      <c r="T716" s="1" t="n"/>
      <c r="U716" s="1" t="n"/>
      <c r="V716" s="2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M716" s="1" t="n"/>
      <c r="AW716" s="1" t="n"/>
    </row>
    <row r="717" ht="20.25" customHeight="1">
      <c r="A717" s="1" t="n"/>
      <c r="B717" s="2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4" t="n"/>
      <c r="S717" s="1" t="n"/>
      <c r="T717" s="1" t="n"/>
      <c r="U717" s="1" t="n"/>
      <c r="V717" s="2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M717" s="1" t="n"/>
      <c r="AW717" s="1" t="n"/>
    </row>
    <row r="718" ht="20.25" customHeight="1">
      <c r="A718" s="1" t="n"/>
      <c r="B718" s="2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4" t="n"/>
      <c r="S718" s="1" t="n"/>
      <c r="T718" s="1" t="n"/>
      <c r="U718" s="1" t="n"/>
      <c r="V718" s="2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M718" s="1" t="n"/>
      <c r="AW718" s="1" t="n"/>
    </row>
    <row r="719" ht="20.25" customHeight="1">
      <c r="A719" s="1" t="n"/>
      <c r="B719" s="2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4" t="n"/>
      <c r="S719" s="1" t="n"/>
      <c r="T719" s="1" t="n"/>
      <c r="U719" s="1" t="n"/>
      <c r="V719" s="2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M719" s="1" t="n"/>
      <c r="AW719" s="1" t="n"/>
    </row>
    <row r="720" ht="20.25" customHeight="1">
      <c r="A720" s="1" t="n"/>
      <c r="B720" s="2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4" t="n"/>
      <c r="S720" s="1" t="n"/>
      <c r="T720" s="1" t="n"/>
      <c r="U720" s="1" t="n"/>
      <c r="V720" s="2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M720" s="1" t="n"/>
      <c r="AW720" s="1" t="n"/>
    </row>
    <row r="721" ht="20.25" customHeight="1">
      <c r="A721" s="1" t="n"/>
      <c r="B721" s="2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4" t="n"/>
      <c r="S721" s="1" t="n"/>
      <c r="T721" s="1" t="n"/>
      <c r="U721" s="1" t="n"/>
      <c r="V721" s="2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M721" s="1" t="n"/>
      <c r="AW721" s="1" t="n"/>
    </row>
    <row r="722" ht="20.25" customHeight="1">
      <c r="A722" s="1" t="n"/>
      <c r="B722" s="2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4" t="n"/>
      <c r="S722" s="1" t="n"/>
      <c r="T722" s="1" t="n"/>
      <c r="U722" s="1" t="n"/>
      <c r="V722" s="2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M722" s="1" t="n"/>
      <c r="AW722" s="1" t="n"/>
    </row>
    <row r="723" ht="20.25" customHeight="1">
      <c r="A723" s="1" t="n"/>
      <c r="B723" s="2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4" t="n"/>
      <c r="S723" s="1" t="n"/>
      <c r="T723" s="1" t="n"/>
      <c r="U723" s="1" t="n"/>
      <c r="V723" s="2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M723" s="1" t="n"/>
      <c r="AW723" s="1" t="n"/>
    </row>
    <row r="724" ht="20.25" customHeight="1">
      <c r="A724" s="1" t="n"/>
      <c r="B724" s="2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4" t="n"/>
      <c r="S724" s="1" t="n"/>
      <c r="T724" s="1" t="n"/>
      <c r="U724" s="1" t="n"/>
      <c r="V724" s="2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M724" s="1" t="n"/>
      <c r="AW724" s="1" t="n"/>
    </row>
    <row r="725" ht="20.25" customHeight="1">
      <c r="A725" s="1" t="n"/>
      <c r="B725" s="2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4" t="n"/>
      <c r="S725" s="1" t="n"/>
      <c r="T725" s="1" t="n"/>
      <c r="U725" s="1" t="n"/>
      <c r="V725" s="2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M725" s="1" t="n"/>
      <c r="AW725" s="1" t="n"/>
    </row>
    <row r="726" ht="20.25" customHeight="1">
      <c r="A726" s="1" t="n"/>
      <c r="B726" s="2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4" t="n"/>
      <c r="S726" s="1" t="n"/>
      <c r="T726" s="1" t="n"/>
      <c r="U726" s="1" t="n"/>
      <c r="V726" s="2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M726" s="1" t="n"/>
      <c r="AW726" s="1" t="n"/>
    </row>
    <row r="727" ht="20.25" customHeight="1">
      <c r="A727" s="1" t="n"/>
      <c r="B727" s="2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4" t="n"/>
      <c r="S727" s="1" t="n"/>
      <c r="T727" s="1" t="n"/>
      <c r="U727" s="1" t="n"/>
      <c r="V727" s="2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M727" s="1" t="n"/>
      <c r="AW727" s="1" t="n"/>
    </row>
    <row r="728" ht="20.25" customHeight="1">
      <c r="A728" s="1" t="n"/>
      <c r="B728" s="2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4" t="n"/>
      <c r="S728" s="1" t="n"/>
      <c r="T728" s="1" t="n"/>
      <c r="U728" s="1" t="n"/>
      <c r="V728" s="2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M728" s="1" t="n"/>
      <c r="AW728" s="1" t="n"/>
    </row>
    <row r="729" ht="20.25" customHeight="1">
      <c r="A729" s="1" t="n"/>
      <c r="B729" s="2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4" t="n"/>
      <c r="S729" s="1" t="n"/>
      <c r="T729" s="1" t="n"/>
      <c r="U729" s="1" t="n"/>
      <c r="V729" s="2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M729" s="1" t="n"/>
      <c r="AW729" s="1" t="n"/>
    </row>
    <row r="730" ht="20.25" customHeight="1">
      <c r="A730" s="1" t="n"/>
      <c r="B730" s="2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4" t="n"/>
      <c r="S730" s="1" t="n"/>
      <c r="T730" s="1" t="n"/>
      <c r="U730" s="1" t="n"/>
      <c r="V730" s="2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M730" s="1" t="n"/>
      <c r="AW730" s="1" t="n"/>
    </row>
    <row r="731" ht="20.25" customHeight="1">
      <c r="A731" s="1" t="n"/>
      <c r="B731" s="2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4" t="n"/>
      <c r="S731" s="1" t="n"/>
      <c r="T731" s="1" t="n"/>
      <c r="U731" s="1" t="n"/>
      <c r="V731" s="2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M731" s="1" t="n"/>
      <c r="AW731" s="1" t="n"/>
    </row>
    <row r="732" ht="20.25" customHeight="1">
      <c r="A732" s="1" t="n"/>
      <c r="B732" s="2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4" t="n"/>
      <c r="S732" s="1" t="n"/>
      <c r="T732" s="1" t="n"/>
      <c r="U732" s="1" t="n"/>
      <c r="V732" s="2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M732" s="1" t="n"/>
      <c r="AW732" s="1" t="n"/>
    </row>
    <row r="733" ht="20.25" customHeight="1">
      <c r="A733" s="1" t="n"/>
      <c r="B733" s="2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4" t="n"/>
      <c r="S733" s="1" t="n"/>
      <c r="T733" s="1" t="n"/>
      <c r="U733" s="1" t="n"/>
      <c r="V733" s="2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M733" s="1" t="n"/>
      <c r="AW733" s="1" t="n"/>
    </row>
    <row r="734" ht="20.25" customHeight="1">
      <c r="A734" s="1" t="n"/>
      <c r="B734" s="2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4" t="n"/>
      <c r="S734" s="1" t="n"/>
      <c r="T734" s="1" t="n"/>
      <c r="U734" s="1" t="n"/>
      <c r="V734" s="2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M734" s="1" t="n"/>
      <c r="AW734" s="1" t="n"/>
    </row>
    <row r="735" ht="20.25" customHeight="1">
      <c r="A735" s="1" t="n"/>
      <c r="B735" s="2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4" t="n"/>
      <c r="S735" s="1" t="n"/>
      <c r="T735" s="1" t="n"/>
      <c r="U735" s="1" t="n"/>
      <c r="V735" s="2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M735" s="1" t="n"/>
      <c r="AW735" s="1" t="n"/>
    </row>
    <row r="736" ht="20.25" customHeight="1">
      <c r="A736" s="1" t="n"/>
      <c r="B736" s="2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4" t="n"/>
      <c r="S736" s="1" t="n"/>
      <c r="T736" s="1" t="n"/>
      <c r="U736" s="1" t="n"/>
      <c r="V736" s="2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M736" s="1" t="n"/>
      <c r="AW736" s="1" t="n"/>
    </row>
    <row r="737" ht="20.25" customHeight="1">
      <c r="A737" s="1" t="n"/>
      <c r="B737" s="2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4" t="n"/>
      <c r="S737" s="1" t="n"/>
      <c r="T737" s="1" t="n"/>
      <c r="U737" s="1" t="n"/>
      <c r="V737" s="2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M737" s="1" t="n"/>
      <c r="AW737" s="1" t="n"/>
    </row>
    <row r="738" ht="20.25" customHeight="1">
      <c r="A738" s="1" t="n"/>
      <c r="B738" s="2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4" t="n"/>
      <c r="S738" s="1" t="n"/>
      <c r="T738" s="1" t="n"/>
      <c r="U738" s="1" t="n"/>
      <c r="V738" s="2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M738" s="1" t="n"/>
      <c r="AW738" s="1" t="n"/>
    </row>
    <row r="739" ht="20.25" customHeight="1">
      <c r="A739" s="1" t="n"/>
      <c r="B739" s="2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4" t="n"/>
      <c r="S739" s="1" t="n"/>
      <c r="T739" s="1" t="n"/>
      <c r="U739" s="1" t="n"/>
      <c r="V739" s="2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M739" s="1" t="n"/>
      <c r="AW739" s="1" t="n"/>
    </row>
    <row r="740" ht="20.25" customHeight="1">
      <c r="A740" s="1" t="n"/>
      <c r="B740" s="2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4" t="n"/>
      <c r="S740" s="1" t="n"/>
      <c r="T740" s="1" t="n"/>
      <c r="U740" s="1" t="n"/>
      <c r="V740" s="2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M740" s="1" t="n"/>
      <c r="AW740" s="1" t="n"/>
    </row>
    <row r="741" ht="20.25" customHeight="1">
      <c r="A741" s="1" t="n"/>
      <c r="B741" s="2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4" t="n"/>
      <c r="S741" s="1" t="n"/>
      <c r="T741" s="1" t="n"/>
      <c r="U741" s="1" t="n"/>
      <c r="V741" s="2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M741" s="1" t="n"/>
      <c r="AW741" s="1" t="n"/>
    </row>
    <row r="742" ht="20.25" customHeight="1">
      <c r="A742" s="1" t="n"/>
      <c r="B742" s="2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4" t="n"/>
      <c r="S742" s="1" t="n"/>
      <c r="T742" s="1" t="n"/>
      <c r="U742" s="1" t="n"/>
      <c r="V742" s="2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M742" s="1" t="n"/>
      <c r="AW742" s="1" t="n"/>
    </row>
    <row r="743" ht="20.25" customHeight="1">
      <c r="A743" s="1" t="n"/>
      <c r="B743" s="2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4" t="n"/>
      <c r="S743" s="1" t="n"/>
      <c r="T743" s="1" t="n"/>
      <c r="U743" s="1" t="n"/>
      <c r="V743" s="2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M743" s="1" t="n"/>
      <c r="AW743" s="1" t="n"/>
    </row>
    <row r="744" ht="20.25" customHeight="1">
      <c r="A744" s="1" t="n"/>
      <c r="B744" s="2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4" t="n"/>
      <c r="S744" s="1" t="n"/>
      <c r="T744" s="1" t="n"/>
      <c r="U744" s="1" t="n"/>
      <c r="V744" s="2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M744" s="1" t="n"/>
      <c r="AW744" s="1" t="n"/>
    </row>
    <row r="745" ht="20.25" customHeight="1">
      <c r="A745" s="1" t="n"/>
      <c r="B745" s="2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4" t="n"/>
      <c r="S745" s="1" t="n"/>
      <c r="T745" s="1" t="n"/>
      <c r="U745" s="1" t="n"/>
      <c r="V745" s="2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M745" s="1" t="n"/>
      <c r="AW745" s="1" t="n"/>
    </row>
    <row r="746" ht="20.25" customHeight="1">
      <c r="A746" s="1" t="n"/>
      <c r="B746" s="2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4" t="n"/>
      <c r="S746" s="1" t="n"/>
      <c r="T746" s="1" t="n"/>
      <c r="U746" s="1" t="n"/>
      <c r="V746" s="2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M746" s="1" t="n"/>
      <c r="AW746" s="1" t="n"/>
    </row>
    <row r="747" ht="20.25" customHeight="1">
      <c r="A747" s="1" t="n"/>
      <c r="B747" s="2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4" t="n"/>
      <c r="S747" s="1" t="n"/>
      <c r="T747" s="1" t="n"/>
      <c r="U747" s="1" t="n"/>
      <c r="V747" s="2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M747" s="1" t="n"/>
      <c r="AW747" s="1" t="n"/>
    </row>
    <row r="748" ht="20.25" customHeight="1">
      <c r="A748" s="1" t="n"/>
      <c r="B748" s="2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4" t="n"/>
      <c r="S748" s="1" t="n"/>
      <c r="T748" s="1" t="n"/>
      <c r="U748" s="1" t="n"/>
      <c r="V748" s="2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M748" s="1" t="n"/>
      <c r="AW748" s="1" t="n"/>
    </row>
    <row r="749" ht="20.25" customHeight="1">
      <c r="A749" s="1" t="n"/>
      <c r="B749" s="2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4" t="n"/>
      <c r="S749" s="1" t="n"/>
      <c r="T749" s="1" t="n"/>
      <c r="U749" s="1" t="n"/>
      <c r="V749" s="2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M749" s="1" t="n"/>
      <c r="AW749" s="1" t="n"/>
    </row>
    <row r="750" ht="20.25" customHeight="1">
      <c r="A750" s="1" t="n"/>
      <c r="B750" s="2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4" t="n"/>
      <c r="S750" s="1" t="n"/>
      <c r="T750" s="1" t="n"/>
      <c r="U750" s="1" t="n"/>
      <c r="V750" s="2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M750" s="1" t="n"/>
      <c r="AW750" s="1" t="n"/>
    </row>
    <row r="751" ht="20.25" customHeight="1">
      <c r="A751" s="1" t="n"/>
      <c r="B751" s="2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4" t="n"/>
      <c r="S751" s="1" t="n"/>
      <c r="T751" s="1" t="n"/>
      <c r="U751" s="1" t="n"/>
      <c r="V751" s="2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M751" s="1" t="n"/>
      <c r="AW751" s="1" t="n"/>
    </row>
    <row r="752" ht="20.25" customHeight="1">
      <c r="A752" s="1" t="n"/>
      <c r="B752" s="2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4" t="n"/>
      <c r="S752" s="1" t="n"/>
      <c r="T752" s="1" t="n"/>
      <c r="U752" s="1" t="n"/>
      <c r="V752" s="2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M752" s="1" t="n"/>
      <c r="AW752" s="1" t="n"/>
    </row>
    <row r="753" ht="20.25" customHeight="1">
      <c r="A753" s="1" t="n"/>
      <c r="B753" s="2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4" t="n"/>
      <c r="S753" s="1" t="n"/>
      <c r="T753" s="1" t="n"/>
      <c r="U753" s="1" t="n"/>
      <c r="V753" s="2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M753" s="1" t="n"/>
      <c r="AW753" s="1" t="n"/>
    </row>
    <row r="754" ht="20.25" customHeight="1">
      <c r="A754" s="1" t="n"/>
      <c r="B754" s="2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4" t="n"/>
      <c r="S754" s="1" t="n"/>
      <c r="T754" s="1" t="n"/>
      <c r="U754" s="1" t="n"/>
      <c r="V754" s="2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M754" s="1" t="n"/>
      <c r="AW754" s="1" t="n"/>
    </row>
    <row r="755" ht="20.25" customHeight="1">
      <c r="A755" s="1" t="n"/>
      <c r="B755" s="2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4" t="n"/>
      <c r="S755" s="1" t="n"/>
      <c r="T755" s="1" t="n"/>
      <c r="U755" s="1" t="n"/>
      <c r="V755" s="2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M755" s="1" t="n"/>
      <c r="AW755" s="1" t="n"/>
    </row>
    <row r="756" ht="20.25" customHeight="1">
      <c r="A756" s="1" t="n"/>
      <c r="B756" s="2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4" t="n"/>
      <c r="S756" s="1" t="n"/>
      <c r="T756" s="1" t="n"/>
      <c r="U756" s="1" t="n"/>
      <c r="V756" s="2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M756" s="1" t="n"/>
      <c r="AW756" s="1" t="n"/>
    </row>
    <row r="757" ht="20.25" customHeight="1">
      <c r="A757" s="1" t="n"/>
      <c r="B757" s="2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4" t="n"/>
      <c r="S757" s="1" t="n"/>
      <c r="T757" s="1" t="n"/>
      <c r="U757" s="1" t="n"/>
      <c r="V757" s="2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M757" s="1" t="n"/>
      <c r="AW757" s="1" t="n"/>
    </row>
    <row r="758" ht="20.25" customHeight="1">
      <c r="A758" s="1" t="n"/>
      <c r="B758" s="2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4" t="n"/>
      <c r="S758" s="1" t="n"/>
      <c r="T758" s="1" t="n"/>
      <c r="U758" s="1" t="n"/>
      <c r="V758" s="2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M758" s="1" t="n"/>
      <c r="AW758" s="1" t="n"/>
    </row>
    <row r="759" ht="20.25" customHeight="1">
      <c r="A759" s="1" t="n"/>
      <c r="B759" s="2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4" t="n"/>
      <c r="S759" s="1" t="n"/>
      <c r="T759" s="1" t="n"/>
      <c r="U759" s="1" t="n"/>
      <c r="V759" s="2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M759" s="1" t="n"/>
      <c r="AW759" s="1" t="n"/>
    </row>
    <row r="760" ht="20.25" customHeight="1">
      <c r="A760" s="1" t="n"/>
      <c r="B760" s="2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4" t="n"/>
      <c r="S760" s="1" t="n"/>
      <c r="T760" s="1" t="n"/>
      <c r="U760" s="1" t="n"/>
      <c r="V760" s="2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M760" s="1" t="n"/>
      <c r="AW760" s="1" t="n"/>
    </row>
    <row r="761" ht="20.25" customHeight="1">
      <c r="A761" s="1" t="n"/>
      <c r="B761" s="2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4" t="n"/>
      <c r="S761" s="1" t="n"/>
      <c r="T761" s="1" t="n"/>
      <c r="U761" s="1" t="n"/>
      <c r="V761" s="2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M761" s="1" t="n"/>
      <c r="AW761" s="1" t="n"/>
    </row>
    <row r="762" ht="20.25" customHeight="1">
      <c r="A762" s="1" t="n"/>
      <c r="B762" s="2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4" t="n"/>
      <c r="S762" s="1" t="n"/>
      <c r="T762" s="1" t="n"/>
      <c r="U762" s="1" t="n"/>
      <c r="V762" s="2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M762" s="1" t="n"/>
      <c r="AW762" s="1" t="n"/>
    </row>
    <row r="763" ht="20.25" customHeight="1">
      <c r="A763" s="1" t="n"/>
      <c r="B763" s="2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4" t="n"/>
      <c r="S763" s="1" t="n"/>
      <c r="T763" s="1" t="n"/>
      <c r="U763" s="1" t="n"/>
      <c r="V763" s="2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M763" s="1" t="n"/>
      <c r="AW763" s="1" t="n"/>
    </row>
    <row r="764" ht="20.25" customHeight="1">
      <c r="A764" s="1" t="n"/>
      <c r="B764" s="2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4" t="n"/>
      <c r="S764" s="1" t="n"/>
      <c r="T764" s="1" t="n"/>
      <c r="U764" s="1" t="n"/>
      <c r="V764" s="2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M764" s="1" t="n"/>
      <c r="AW764" s="1" t="n"/>
    </row>
    <row r="765" ht="20.25" customHeight="1">
      <c r="A765" s="1" t="n"/>
      <c r="B765" s="2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4" t="n"/>
      <c r="S765" s="1" t="n"/>
      <c r="T765" s="1" t="n"/>
      <c r="U765" s="1" t="n"/>
      <c r="V765" s="2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M765" s="1" t="n"/>
      <c r="AW765" s="1" t="n"/>
    </row>
    <row r="766" ht="20.25" customHeight="1">
      <c r="A766" s="1" t="n"/>
      <c r="B766" s="2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4" t="n"/>
      <c r="S766" s="1" t="n"/>
      <c r="T766" s="1" t="n"/>
      <c r="U766" s="1" t="n"/>
      <c r="V766" s="2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M766" s="1" t="n"/>
      <c r="AW766" s="1" t="n"/>
    </row>
    <row r="767" ht="20.25" customHeight="1">
      <c r="A767" s="1" t="n"/>
      <c r="B767" s="2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4" t="n"/>
      <c r="S767" s="1" t="n"/>
      <c r="T767" s="1" t="n"/>
      <c r="U767" s="1" t="n"/>
      <c r="V767" s="2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M767" s="1" t="n"/>
      <c r="AW767" s="1" t="n"/>
    </row>
    <row r="768" ht="20.25" customHeight="1">
      <c r="A768" s="1" t="n"/>
      <c r="B768" s="2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4" t="n"/>
      <c r="S768" s="1" t="n"/>
      <c r="T768" s="1" t="n"/>
      <c r="U768" s="1" t="n"/>
      <c r="V768" s="2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M768" s="1" t="n"/>
      <c r="AW768" s="1" t="n"/>
    </row>
    <row r="769" ht="20.25" customHeight="1">
      <c r="A769" s="1" t="n"/>
      <c r="B769" s="2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4" t="n"/>
      <c r="S769" s="1" t="n"/>
      <c r="T769" s="1" t="n"/>
      <c r="U769" s="1" t="n"/>
      <c r="V769" s="2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M769" s="1" t="n"/>
      <c r="AW769" s="1" t="n"/>
    </row>
    <row r="770" ht="20.25" customHeight="1">
      <c r="A770" s="1" t="n"/>
      <c r="B770" s="2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4" t="n"/>
      <c r="S770" s="1" t="n"/>
      <c r="T770" s="1" t="n"/>
      <c r="U770" s="1" t="n"/>
      <c r="V770" s="2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M770" s="1" t="n"/>
      <c r="AW770" s="1" t="n"/>
    </row>
    <row r="771" ht="20.25" customHeight="1">
      <c r="A771" s="1" t="n"/>
      <c r="B771" s="2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4" t="n"/>
      <c r="S771" s="1" t="n"/>
      <c r="T771" s="1" t="n"/>
      <c r="U771" s="1" t="n"/>
      <c r="V771" s="2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M771" s="1" t="n"/>
      <c r="AW771" s="1" t="n"/>
    </row>
    <row r="772" ht="20.25" customHeight="1">
      <c r="A772" s="1" t="n"/>
      <c r="B772" s="2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4" t="n"/>
      <c r="S772" s="1" t="n"/>
      <c r="T772" s="1" t="n"/>
      <c r="U772" s="1" t="n"/>
      <c r="V772" s="2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M772" s="1" t="n"/>
      <c r="AW772" s="1" t="n"/>
    </row>
    <row r="773" ht="20.25" customHeight="1">
      <c r="A773" s="1" t="n"/>
      <c r="B773" s="2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4" t="n"/>
      <c r="S773" s="1" t="n"/>
      <c r="T773" s="1" t="n"/>
      <c r="U773" s="1" t="n"/>
      <c r="V773" s="2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M773" s="1" t="n"/>
      <c r="AW773" s="1" t="n"/>
    </row>
    <row r="774" ht="20.25" customHeight="1">
      <c r="A774" s="1" t="n"/>
      <c r="B774" s="2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4" t="n"/>
      <c r="S774" s="1" t="n"/>
      <c r="T774" s="1" t="n"/>
      <c r="U774" s="1" t="n"/>
      <c r="V774" s="2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M774" s="1" t="n"/>
      <c r="AW774" s="1" t="n"/>
    </row>
    <row r="775" ht="20.25" customHeight="1">
      <c r="A775" s="1" t="n"/>
      <c r="B775" s="2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4" t="n"/>
      <c r="S775" s="1" t="n"/>
      <c r="T775" s="1" t="n"/>
      <c r="U775" s="1" t="n"/>
      <c r="V775" s="2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M775" s="1" t="n"/>
      <c r="AW775" s="1" t="n"/>
    </row>
    <row r="776" ht="20.25" customHeight="1">
      <c r="A776" s="1" t="n"/>
      <c r="B776" s="2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4" t="n"/>
      <c r="S776" s="1" t="n"/>
      <c r="T776" s="1" t="n"/>
      <c r="U776" s="1" t="n"/>
      <c r="V776" s="2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M776" s="1" t="n"/>
      <c r="AW776" s="1" t="n"/>
    </row>
    <row r="777" ht="20.25" customHeight="1">
      <c r="A777" s="1" t="n"/>
      <c r="B777" s="2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4" t="n"/>
      <c r="S777" s="1" t="n"/>
      <c r="T777" s="1" t="n"/>
      <c r="U777" s="1" t="n"/>
      <c r="V777" s="2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M777" s="1" t="n"/>
      <c r="AW777" s="1" t="n"/>
    </row>
    <row r="778" ht="20.25" customHeight="1">
      <c r="A778" s="1" t="n"/>
      <c r="B778" s="2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4" t="n"/>
      <c r="S778" s="1" t="n"/>
      <c r="T778" s="1" t="n"/>
      <c r="U778" s="1" t="n"/>
      <c r="V778" s="2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M778" s="1" t="n"/>
      <c r="AW778" s="1" t="n"/>
    </row>
    <row r="779" ht="20.25" customHeight="1">
      <c r="A779" s="1" t="n"/>
      <c r="B779" s="2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4" t="n"/>
      <c r="S779" s="1" t="n"/>
      <c r="T779" s="1" t="n"/>
      <c r="U779" s="1" t="n"/>
      <c r="V779" s="2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M779" s="1" t="n"/>
      <c r="AW779" s="1" t="n"/>
    </row>
    <row r="780" ht="20.25" customHeight="1">
      <c r="A780" s="1" t="n"/>
      <c r="B780" s="2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4" t="n"/>
      <c r="S780" s="1" t="n"/>
      <c r="T780" s="1" t="n"/>
      <c r="U780" s="1" t="n"/>
      <c r="V780" s="2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M780" s="1" t="n"/>
      <c r="AW780" s="1" t="n"/>
    </row>
    <row r="781" ht="20.25" customHeight="1">
      <c r="A781" s="1" t="n"/>
      <c r="B781" s="2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4" t="n"/>
      <c r="S781" s="1" t="n"/>
      <c r="T781" s="1" t="n"/>
      <c r="U781" s="1" t="n"/>
      <c r="V781" s="2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M781" s="1" t="n"/>
      <c r="AW781" s="1" t="n"/>
    </row>
    <row r="782" ht="20.25" customHeight="1">
      <c r="A782" s="1" t="n"/>
      <c r="B782" s="2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4" t="n"/>
      <c r="S782" s="1" t="n"/>
      <c r="T782" s="1" t="n"/>
      <c r="U782" s="1" t="n"/>
      <c r="V782" s="2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M782" s="1" t="n"/>
      <c r="AW782" s="1" t="n"/>
    </row>
    <row r="783" ht="20.25" customHeight="1">
      <c r="A783" s="1" t="n"/>
      <c r="B783" s="2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4" t="n"/>
      <c r="S783" s="1" t="n"/>
      <c r="T783" s="1" t="n"/>
      <c r="U783" s="1" t="n"/>
      <c r="V783" s="2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M783" s="1" t="n"/>
      <c r="AW783" s="1" t="n"/>
    </row>
    <row r="784" ht="20.25" customHeight="1">
      <c r="A784" s="1" t="n"/>
      <c r="B784" s="2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4" t="n"/>
      <c r="S784" s="1" t="n"/>
      <c r="T784" s="1" t="n"/>
      <c r="U784" s="1" t="n"/>
      <c r="V784" s="2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M784" s="1" t="n"/>
      <c r="AW784" s="1" t="n"/>
    </row>
    <row r="785" ht="20.25" customHeight="1">
      <c r="A785" s="1" t="n"/>
      <c r="B785" s="2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4" t="n"/>
      <c r="S785" s="1" t="n"/>
      <c r="T785" s="1" t="n"/>
      <c r="U785" s="1" t="n"/>
      <c r="V785" s="2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M785" s="1" t="n"/>
      <c r="AW785" s="1" t="n"/>
    </row>
    <row r="786" ht="20.25" customHeight="1">
      <c r="A786" s="1" t="n"/>
      <c r="B786" s="2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4" t="n"/>
      <c r="S786" s="1" t="n"/>
      <c r="T786" s="1" t="n"/>
      <c r="U786" s="1" t="n"/>
      <c r="V786" s="2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M786" s="1" t="n"/>
      <c r="AW786" s="1" t="n"/>
    </row>
    <row r="787" ht="20.25" customHeight="1">
      <c r="A787" s="1" t="n"/>
      <c r="B787" s="2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4" t="n"/>
      <c r="S787" s="1" t="n"/>
      <c r="T787" s="1" t="n"/>
      <c r="U787" s="1" t="n"/>
      <c r="V787" s="2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M787" s="1" t="n"/>
      <c r="AW787" s="1" t="n"/>
    </row>
    <row r="788" ht="20.25" customHeight="1">
      <c r="A788" s="1" t="n"/>
      <c r="B788" s="2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4" t="n"/>
      <c r="S788" s="1" t="n"/>
      <c r="T788" s="1" t="n"/>
      <c r="U788" s="1" t="n"/>
      <c r="V788" s="2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M788" s="1" t="n"/>
      <c r="AW788" s="1" t="n"/>
    </row>
    <row r="789" ht="20.25" customHeight="1">
      <c r="A789" s="1" t="n"/>
      <c r="B789" s="2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4" t="n"/>
      <c r="S789" s="1" t="n"/>
      <c r="T789" s="1" t="n"/>
      <c r="U789" s="1" t="n"/>
      <c r="V789" s="2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M789" s="1" t="n"/>
      <c r="AW789" s="1" t="n"/>
    </row>
    <row r="790" ht="20.25" customHeight="1">
      <c r="A790" s="1" t="n"/>
      <c r="B790" s="2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4" t="n"/>
      <c r="S790" s="1" t="n"/>
      <c r="T790" s="1" t="n"/>
      <c r="U790" s="1" t="n"/>
      <c r="V790" s="2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M790" s="1" t="n"/>
      <c r="AW790" s="1" t="n"/>
    </row>
    <row r="791" ht="20.25" customHeight="1">
      <c r="A791" s="1" t="n"/>
      <c r="B791" s="2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4" t="n"/>
      <c r="S791" s="1" t="n"/>
      <c r="T791" s="1" t="n"/>
      <c r="U791" s="1" t="n"/>
      <c r="V791" s="2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M791" s="1" t="n"/>
      <c r="AW791" s="1" t="n"/>
    </row>
    <row r="792" ht="20.25" customHeight="1">
      <c r="A792" s="1" t="n"/>
      <c r="B792" s="2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4" t="n"/>
      <c r="S792" s="1" t="n"/>
      <c r="T792" s="1" t="n"/>
      <c r="U792" s="1" t="n"/>
      <c r="V792" s="2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M792" s="1" t="n"/>
      <c r="AW792" s="1" t="n"/>
    </row>
    <row r="793" ht="20.25" customHeight="1">
      <c r="A793" s="1" t="n"/>
      <c r="B793" s="2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4" t="n"/>
      <c r="S793" s="1" t="n"/>
      <c r="T793" s="1" t="n"/>
      <c r="U793" s="1" t="n"/>
      <c r="V793" s="2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M793" s="1" t="n"/>
      <c r="AW793" s="1" t="n"/>
    </row>
    <row r="794" ht="20.25" customHeight="1">
      <c r="A794" s="1" t="n"/>
      <c r="B794" s="2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4" t="n"/>
      <c r="S794" s="1" t="n"/>
      <c r="T794" s="1" t="n"/>
      <c r="U794" s="1" t="n"/>
      <c r="V794" s="2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M794" s="1" t="n"/>
      <c r="AW794" s="1" t="n"/>
    </row>
    <row r="795" ht="20.25" customHeight="1">
      <c r="A795" s="1" t="n"/>
      <c r="B795" s="2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4" t="n"/>
      <c r="S795" s="1" t="n"/>
      <c r="T795" s="1" t="n"/>
      <c r="U795" s="1" t="n"/>
      <c r="V795" s="2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M795" s="1" t="n"/>
      <c r="AW795" s="1" t="n"/>
    </row>
    <row r="796" ht="20.25" customHeight="1">
      <c r="A796" s="1" t="n"/>
      <c r="B796" s="2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4" t="n"/>
      <c r="S796" s="1" t="n"/>
      <c r="T796" s="1" t="n"/>
      <c r="U796" s="1" t="n"/>
      <c r="V796" s="2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M796" s="1" t="n"/>
      <c r="AW796" s="1" t="n"/>
    </row>
    <row r="797" ht="20.25" customHeight="1">
      <c r="A797" s="1" t="n"/>
      <c r="B797" s="2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4" t="n"/>
      <c r="S797" s="1" t="n"/>
      <c r="T797" s="1" t="n"/>
      <c r="U797" s="1" t="n"/>
      <c r="V797" s="2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M797" s="1" t="n"/>
      <c r="AW797" s="1" t="n"/>
    </row>
    <row r="798" ht="20.25" customHeight="1">
      <c r="A798" s="1" t="n"/>
      <c r="B798" s="2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4" t="n"/>
      <c r="S798" s="1" t="n"/>
      <c r="T798" s="1" t="n"/>
      <c r="U798" s="1" t="n"/>
      <c r="V798" s="2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M798" s="1" t="n"/>
      <c r="AW798" s="1" t="n"/>
    </row>
    <row r="799" ht="20.25" customHeight="1">
      <c r="A799" s="1" t="n"/>
      <c r="B799" s="2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4" t="n"/>
      <c r="S799" s="1" t="n"/>
      <c r="T799" s="1" t="n"/>
      <c r="U799" s="1" t="n"/>
      <c r="V799" s="2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M799" s="1" t="n"/>
      <c r="AW799" s="1" t="n"/>
    </row>
    <row r="800" ht="20.25" customHeight="1">
      <c r="A800" s="1" t="n"/>
      <c r="B800" s="2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4" t="n"/>
      <c r="S800" s="1" t="n"/>
      <c r="T800" s="1" t="n"/>
      <c r="U800" s="1" t="n"/>
      <c r="V800" s="2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M800" s="1" t="n"/>
      <c r="AW800" s="1" t="n"/>
    </row>
    <row r="801" ht="20.25" customHeight="1">
      <c r="A801" s="1" t="n"/>
      <c r="B801" s="2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4" t="n"/>
      <c r="S801" s="1" t="n"/>
      <c r="T801" s="1" t="n"/>
      <c r="U801" s="1" t="n"/>
      <c r="V801" s="2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M801" s="1" t="n"/>
      <c r="AW801" s="1" t="n"/>
    </row>
    <row r="802" ht="20.25" customHeight="1">
      <c r="A802" s="1" t="n"/>
      <c r="B802" s="2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4" t="n"/>
      <c r="S802" s="1" t="n"/>
      <c r="T802" s="1" t="n"/>
      <c r="U802" s="1" t="n"/>
      <c r="V802" s="2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M802" s="1" t="n"/>
      <c r="AW802" s="1" t="n"/>
    </row>
    <row r="803" ht="20.25" customHeight="1">
      <c r="A803" s="1" t="n"/>
      <c r="B803" s="2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4" t="n"/>
      <c r="S803" s="1" t="n"/>
      <c r="T803" s="1" t="n"/>
      <c r="U803" s="1" t="n"/>
      <c r="V803" s="2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M803" s="1" t="n"/>
      <c r="AW803" s="1" t="n"/>
    </row>
    <row r="804" ht="20.25" customHeight="1">
      <c r="A804" s="1" t="n"/>
      <c r="B804" s="2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4" t="n"/>
      <c r="S804" s="1" t="n"/>
      <c r="T804" s="1" t="n"/>
      <c r="U804" s="1" t="n"/>
      <c r="V804" s="2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M804" s="1" t="n"/>
      <c r="AW804" s="1" t="n"/>
    </row>
    <row r="805" ht="20.25" customHeight="1">
      <c r="A805" s="1" t="n"/>
      <c r="B805" s="2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4" t="n"/>
      <c r="S805" s="1" t="n"/>
      <c r="T805" s="1" t="n"/>
      <c r="U805" s="1" t="n"/>
      <c r="V805" s="2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M805" s="1" t="n"/>
      <c r="AW805" s="1" t="n"/>
    </row>
    <row r="806" ht="20.25" customHeight="1">
      <c r="A806" s="1" t="n"/>
      <c r="B806" s="2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4" t="n"/>
      <c r="S806" s="1" t="n"/>
      <c r="T806" s="1" t="n"/>
      <c r="U806" s="1" t="n"/>
      <c r="V806" s="2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M806" s="1" t="n"/>
      <c r="AW806" s="1" t="n"/>
    </row>
    <row r="807" ht="20.25" customHeight="1">
      <c r="A807" s="1" t="n"/>
      <c r="B807" s="2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4" t="n"/>
      <c r="S807" s="1" t="n"/>
      <c r="T807" s="1" t="n"/>
      <c r="U807" s="1" t="n"/>
      <c r="V807" s="2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M807" s="1" t="n"/>
      <c r="AW807" s="1" t="n"/>
    </row>
    <row r="808" ht="20.25" customHeight="1">
      <c r="A808" s="1" t="n"/>
      <c r="B808" s="2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4" t="n"/>
      <c r="S808" s="1" t="n"/>
      <c r="T808" s="1" t="n"/>
      <c r="U808" s="1" t="n"/>
      <c r="V808" s="2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M808" s="1" t="n"/>
      <c r="AW808" s="1" t="n"/>
    </row>
    <row r="809" ht="20.25" customHeight="1">
      <c r="A809" s="1" t="n"/>
      <c r="B809" s="2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4" t="n"/>
      <c r="S809" s="1" t="n"/>
      <c r="T809" s="1" t="n"/>
      <c r="U809" s="1" t="n"/>
      <c r="V809" s="2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M809" s="1" t="n"/>
      <c r="AW809" s="1" t="n"/>
    </row>
    <row r="810" ht="20.25" customHeight="1">
      <c r="A810" s="1" t="n"/>
      <c r="B810" s="2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4" t="n"/>
      <c r="S810" s="1" t="n"/>
      <c r="T810" s="1" t="n"/>
      <c r="U810" s="1" t="n"/>
      <c r="V810" s="2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M810" s="1" t="n"/>
      <c r="AW810" s="1" t="n"/>
    </row>
    <row r="811" ht="20.25" customHeight="1">
      <c r="A811" s="1" t="n"/>
      <c r="B811" s="2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4" t="n"/>
      <c r="S811" s="1" t="n"/>
      <c r="T811" s="1" t="n"/>
      <c r="U811" s="1" t="n"/>
      <c r="V811" s="2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M811" s="1" t="n"/>
      <c r="AW811" s="1" t="n"/>
    </row>
    <row r="812" ht="20.25" customHeight="1">
      <c r="A812" s="1" t="n"/>
      <c r="B812" s="2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4" t="n"/>
      <c r="S812" s="1" t="n"/>
      <c r="T812" s="1" t="n"/>
      <c r="U812" s="1" t="n"/>
      <c r="V812" s="2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M812" s="1" t="n"/>
      <c r="AW812" s="1" t="n"/>
    </row>
    <row r="813" ht="20.25" customHeight="1">
      <c r="A813" s="1" t="n"/>
      <c r="B813" s="2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4" t="n"/>
      <c r="S813" s="1" t="n"/>
      <c r="T813" s="1" t="n"/>
      <c r="U813" s="1" t="n"/>
      <c r="V813" s="2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M813" s="1" t="n"/>
      <c r="AW813" s="1" t="n"/>
    </row>
    <row r="814" ht="20.25" customHeight="1">
      <c r="A814" s="1" t="n"/>
      <c r="B814" s="2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4" t="n"/>
      <c r="S814" s="1" t="n"/>
      <c r="T814" s="1" t="n"/>
      <c r="U814" s="1" t="n"/>
      <c r="V814" s="2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M814" s="1" t="n"/>
      <c r="AW814" s="1" t="n"/>
    </row>
    <row r="815" ht="20.25" customHeight="1">
      <c r="A815" s="1" t="n"/>
      <c r="B815" s="2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4" t="n"/>
      <c r="S815" s="1" t="n"/>
      <c r="T815" s="1" t="n"/>
      <c r="U815" s="1" t="n"/>
      <c r="V815" s="2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M815" s="1" t="n"/>
      <c r="AW815" s="1" t="n"/>
    </row>
    <row r="816" ht="20.25" customHeight="1">
      <c r="A816" s="1" t="n"/>
      <c r="B816" s="2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4" t="n"/>
      <c r="S816" s="1" t="n"/>
      <c r="T816" s="1" t="n"/>
      <c r="U816" s="1" t="n"/>
      <c r="V816" s="2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M816" s="1" t="n"/>
      <c r="AW816" s="1" t="n"/>
    </row>
    <row r="817" ht="20.25" customHeight="1">
      <c r="A817" s="1" t="n"/>
      <c r="B817" s="2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4" t="n"/>
      <c r="S817" s="1" t="n"/>
      <c r="T817" s="1" t="n"/>
      <c r="U817" s="1" t="n"/>
      <c r="V817" s="2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M817" s="1" t="n"/>
      <c r="AW817" s="1" t="n"/>
    </row>
    <row r="818" ht="20.25" customHeight="1">
      <c r="A818" s="1" t="n"/>
      <c r="B818" s="2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4" t="n"/>
      <c r="S818" s="1" t="n"/>
      <c r="T818" s="1" t="n"/>
      <c r="U818" s="1" t="n"/>
      <c r="V818" s="2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M818" s="1" t="n"/>
      <c r="AW818" s="1" t="n"/>
    </row>
    <row r="819" ht="20.25" customHeight="1">
      <c r="A819" s="1" t="n"/>
      <c r="B819" s="2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4" t="n"/>
      <c r="S819" s="1" t="n"/>
      <c r="T819" s="1" t="n"/>
      <c r="U819" s="1" t="n"/>
      <c r="V819" s="2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M819" s="1" t="n"/>
      <c r="AW819" s="1" t="n"/>
    </row>
    <row r="820" ht="20.25" customHeight="1">
      <c r="A820" s="1" t="n"/>
      <c r="B820" s="2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4" t="n"/>
      <c r="S820" s="1" t="n"/>
      <c r="T820" s="1" t="n"/>
      <c r="U820" s="1" t="n"/>
      <c r="V820" s="2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M820" s="1" t="n"/>
      <c r="AW820" s="1" t="n"/>
    </row>
    <row r="821" ht="20.25" customHeight="1">
      <c r="A821" s="1" t="n"/>
      <c r="B821" s="2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4" t="n"/>
      <c r="S821" s="1" t="n"/>
      <c r="T821" s="1" t="n"/>
      <c r="U821" s="1" t="n"/>
      <c r="V821" s="2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M821" s="1" t="n"/>
      <c r="AW821" s="1" t="n"/>
    </row>
    <row r="822" ht="20.25" customHeight="1">
      <c r="A822" s="1" t="n"/>
      <c r="B822" s="2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4" t="n"/>
      <c r="S822" s="1" t="n"/>
      <c r="T822" s="1" t="n"/>
      <c r="U822" s="1" t="n"/>
      <c r="V822" s="2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M822" s="1" t="n"/>
      <c r="AW822" s="1" t="n"/>
    </row>
    <row r="823" ht="20.25" customHeight="1">
      <c r="A823" s="1" t="n"/>
      <c r="B823" s="2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4" t="n"/>
      <c r="S823" s="1" t="n"/>
      <c r="T823" s="1" t="n"/>
      <c r="U823" s="1" t="n"/>
      <c r="V823" s="2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M823" s="1" t="n"/>
      <c r="AW823" s="1" t="n"/>
    </row>
    <row r="824" ht="20.25" customHeight="1">
      <c r="A824" s="1" t="n"/>
      <c r="B824" s="2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4" t="n"/>
      <c r="S824" s="1" t="n"/>
      <c r="T824" s="1" t="n"/>
      <c r="U824" s="1" t="n"/>
      <c r="V824" s="2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M824" s="1" t="n"/>
      <c r="AW824" s="1" t="n"/>
    </row>
    <row r="825" ht="20.25" customHeight="1">
      <c r="A825" s="1" t="n"/>
      <c r="B825" s="2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4" t="n"/>
      <c r="S825" s="1" t="n"/>
      <c r="T825" s="1" t="n"/>
      <c r="U825" s="1" t="n"/>
      <c r="V825" s="2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M825" s="1" t="n"/>
      <c r="AW825" s="1" t="n"/>
    </row>
    <row r="826" ht="20.25" customHeight="1">
      <c r="A826" s="1" t="n"/>
      <c r="B826" s="2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4" t="n"/>
      <c r="S826" s="1" t="n"/>
      <c r="T826" s="1" t="n"/>
      <c r="U826" s="1" t="n"/>
      <c r="V826" s="2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M826" s="1" t="n"/>
      <c r="AW826" s="1" t="n"/>
    </row>
    <row r="827" ht="20.25" customHeight="1">
      <c r="A827" s="1" t="n"/>
      <c r="B827" s="2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4" t="n"/>
      <c r="S827" s="1" t="n"/>
      <c r="T827" s="1" t="n"/>
      <c r="U827" s="1" t="n"/>
      <c r="V827" s="2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M827" s="1" t="n"/>
      <c r="AW827" s="1" t="n"/>
    </row>
    <row r="828" ht="20.25" customHeight="1">
      <c r="A828" s="1" t="n"/>
      <c r="B828" s="2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4" t="n"/>
      <c r="S828" s="1" t="n"/>
      <c r="T828" s="1" t="n"/>
      <c r="U828" s="1" t="n"/>
      <c r="V828" s="2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M828" s="1" t="n"/>
      <c r="AW828" s="1" t="n"/>
    </row>
    <row r="829" ht="20.25" customHeight="1">
      <c r="A829" s="1" t="n"/>
      <c r="B829" s="2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4" t="n"/>
      <c r="S829" s="1" t="n"/>
      <c r="T829" s="1" t="n"/>
      <c r="U829" s="1" t="n"/>
      <c r="V829" s="2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M829" s="1" t="n"/>
      <c r="AW829" s="1" t="n"/>
    </row>
    <row r="830" ht="20.25" customHeight="1">
      <c r="A830" s="1" t="n"/>
      <c r="B830" s="2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4" t="n"/>
      <c r="S830" s="1" t="n"/>
      <c r="T830" s="1" t="n"/>
      <c r="U830" s="1" t="n"/>
      <c r="V830" s="2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M830" s="1" t="n"/>
      <c r="AW830" s="1" t="n"/>
    </row>
    <row r="831" ht="20.25" customHeight="1">
      <c r="A831" s="1" t="n"/>
      <c r="B831" s="2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4" t="n"/>
      <c r="S831" s="1" t="n"/>
      <c r="T831" s="1" t="n"/>
      <c r="U831" s="1" t="n"/>
      <c r="V831" s="2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M831" s="1" t="n"/>
      <c r="AW831" s="1" t="n"/>
    </row>
    <row r="832" ht="20.25" customHeight="1">
      <c r="A832" s="1" t="n"/>
      <c r="B832" s="2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4" t="n"/>
      <c r="S832" s="1" t="n"/>
      <c r="T832" s="1" t="n"/>
      <c r="U832" s="1" t="n"/>
      <c r="V832" s="2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M832" s="1" t="n"/>
      <c r="AW832" s="1" t="n"/>
    </row>
    <row r="833" ht="20.25" customHeight="1">
      <c r="A833" s="1" t="n"/>
      <c r="B833" s="2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4" t="n"/>
      <c r="S833" s="1" t="n"/>
      <c r="T833" s="1" t="n"/>
      <c r="U833" s="1" t="n"/>
      <c r="V833" s="2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M833" s="1" t="n"/>
      <c r="AW833" s="1" t="n"/>
    </row>
    <row r="834" ht="20.25" customHeight="1">
      <c r="A834" s="1" t="n"/>
      <c r="B834" s="2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4" t="n"/>
      <c r="S834" s="1" t="n"/>
      <c r="T834" s="1" t="n"/>
      <c r="U834" s="1" t="n"/>
      <c r="V834" s="2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M834" s="1" t="n"/>
      <c r="AW834" s="1" t="n"/>
    </row>
    <row r="835" ht="20.25" customHeight="1">
      <c r="A835" s="1" t="n"/>
      <c r="B835" s="2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4" t="n"/>
      <c r="S835" s="1" t="n"/>
      <c r="T835" s="1" t="n"/>
      <c r="U835" s="1" t="n"/>
      <c r="V835" s="2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M835" s="1" t="n"/>
      <c r="AW835" s="1" t="n"/>
    </row>
    <row r="836" ht="20.25" customHeight="1">
      <c r="A836" s="1" t="n"/>
      <c r="B836" s="2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4" t="n"/>
      <c r="S836" s="1" t="n"/>
      <c r="T836" s="1" t="n"/>
      <c r="U836" s="1" t="n"/>
      <c r="V836" s="2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M836" s="1" t="n"/>
      <c r="AW836" s="1" t="n"/>
    </row>
    <row r="837" ht="20.25" customHeight="1">
      <c r="A837" s="1" t="n"/>
      <c r="B837" s="2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4" t="n"/>
      <c r="S837" s="1" t="n"/>
      <c r="T837" s="1" t="n"/>
      <c r="U837" s="1" t="n"/>
      <c r="V837" s="2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M837" s="1" t="n"/>
      <c r="AW837" s="1" t="n"/>
    </row>
    <row r="838" ht="20.25" customHeight="1">
      <c r="A838" s="1" t="n"/>
      <c r="B838" s="2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4" t="n"/>
      <c r="S838" s="1" t="n"/>
      <c r="T838" s="1" t="n"/>
      <c r="U838" s="1" t="n"/>
      <c r="V838" s="2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M838" s="1" t="n"/>
      <c r="AW838" s="1" t="n"/>
    </row>
    <row r="839" ht="20.25" customHeight="1">
      <c r="A839" s="1" t="n"/>
      <c r="B839" s="2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4" t="n"/>
      <c r="S839" s="1" t="n"/>
      <c r="T839" s="1" t="n"/>
      <c r="U839" s="1" t="n"/>
      <c r="V839" s="2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M839" s="1" t="n"/>
      <c r="AW839" s="1" t="n"/>
    </row>
    <row r="840" ht="20.25" customHeight="1">
      <c r="A840" s="1" t="n"/>
      <c r="B840" s="2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4" t="n"/>
      <c r="S840" s="1" t="n"/>
      <c r="T840" s="1" t="n"/>
      <c r="U840" s="1" t="n"/>
      <c r="V840" s="2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M840" s="1" t="n"/>
      <c r="AW840" s="1" t="n"/>
    </row>
    <row r="841" ht="20.25" customHeight="1">
      <c r="A841" s="1" t="n"/>
      <c r="B841" s="2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4" t="n"/>
      <c r="S841" s="1" t="n"/>
      <c r="T841" s="1" t="n"/>
      <c r="U841" s="1" t="n"/>
      <c r="V841" s="2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M841" s="1" t="n"/>
      <c r="AW841" s="1" t="n"/>
    </row>
    <row r="842" ht="20.25" customHeight="1">
      <c r="A842" s="1" t="n"/>
      <c r="B842" s="2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4" t="n"/>
      <c r="S842" s="1" t="n"/>
      <c r="T842" s="1" t="n"/>
      <c r="U842" s="1" t="n"/>
      <c r="V842" s="2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M842" s="1" t="n"/>
      <c r="AW842" s="1" t="n"/>
    </row>
    <row r="843" ht="20.25" customHeight="1">
      <c r="A843" s="1" t="n"/>
      <c r="B843" s="2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4" t="n"/>
      <c r="S843" s="1" t="n"/>
      <c r="T843" s="1" t="n"/>
      <c r="U843" s="1" t="n"/>
      <c r="V843" s="2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M843" s="1" t="n"/>
      <c r="AW843" s="1" t="n"/>
    </row>
    <row r="844" ht="20.25" customHeight="1">
      <c r="A844" s="1" t="n"/>
      <c r="B844" s="2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4" t="n"/>
      <c r="S844" s="1" t="n"/>
      <c r="T844" s="1" t="n"/>
      <c r="U844" s="1" t="n"/>
      <c r="V844" s="2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M844" s="1" t="n"/>
      <c r="AW844" s="1" t="n"/>
    </row>
    <row r="845" ht="20.25" customHeight="1">
      <c r="A845" s="1" t="n"/>
      <c r="B845" s="2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4" t="n"/>
      <c r="S845" s="1" t="n"/>
      <c r="T845" s="1" t="n"/>
      <c r="U845" s="1" t="n"/>
      <c r="V845" s="2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M845" s="1" t="n"/>
      <c r="AW845" s="1" t="n"/>
    </row>
    <row r="846" ht="20.25" customHeight="1">
      <c r="A846" s="1" t="n"/>
      <c r="B846" s="2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4" t="n"/>
      <c r="S846" s="1" t="n"/>
      <c r="T846" s="1" t="n"/>
      <c r="U846" s="1" t="n"/>
      <c r="V846" s="2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M846" s="1" t="n"/>
      <c r="AW846" s="1" t="n"/>
    </row>
    <row r="847" ht="20.25" customHeight="1">
      <c r="A847" s="1" t="n"/>
      <c r="B847" s="2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4" t="n"/>
      <c r="S847" s="1" t="n"/>
      <c r="T847" s="1" t="n"/>
      <c r="U847" s="1" t="n"/>
      <c r="V847" s="2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M847" s="1" t="n"/>
      <c r="AW847" s="1" t="n"/>
    </row>
    <row r="848" ht="20.25" customHeight="1">
      <c r="A848" s="1" t="n"/>
      <c r="B848" s="2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4" t="n"/>
      <c r="S848" s="1" t="n"/>
      <c r="T848" s="1" t="n"/>
      <c r="U848" s="1" t="n"/>
      <c r="V848" s="2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M848" s="1" t="n"/>
      <c r="AW848" s="1" t="n"/>
    </row>
    <row r="849" ht="20.25" customHeight="1">
      <c r="A849" s="1" t="n"/>
      <c r="B849" s="2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4" t="n"/>
      <c r="S849" s="1" t="n"/>
      <c r="T849" s="1" t="n"/>
      <c r="U849" s="1" t="n"/>
      <c r="V849" s="2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M849" s="1" t="n"/>
      <c r="AW849" s="1" t="n"/>
    </row>
    <row r="850" ht="20.25" customHeight="1">
      <c r="A850" s="1" t="n"/>
      <c r="B850" s="2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4" t="n"/>
      <c r="S850" s="1" t="n"/>
      <c r="T850" s="1" t="n"/>
      <c r="U850" s="1" t="n"/>
      <c r="V850" s="2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M850" s="1" t="n"/>
      <c r="AW850" s="1" t="n"/>
    </row>
    <row r="851" ht="20.25" customHeight="1">
      <c r="A851" s="1" t="n"/>
      <c r="B851" s="2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4" t="n"/>
      <c r="S851" s="1" t="n"/>
      <c r="T851" s="1" t="n"/>
      <c r="U851" s="1" t="n"/>
      <c r="V851" s="2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M851" s="1" t="n"/>
      <c r="AW851" s="1" t="n"/>
    </row>
    <row r="852" ht="20.25" customHeight="1">
      <c r="A852" s="1" t="n"/>
      <c r="B852" s="2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4" t="n"/>
      <c r="S852" s="1" t="n"/>
      <c r="T852" s="1" t="n"/>
      <c r="U852" s="1" t="n"/>
      <c r="V852" s="2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M852" s="1" t="n"/>
      <c r="AW852" s="1" t="n"/>
    </row>
    <row r="853" ht="20.25" customHeight="1">
      <c r="A853" s="1" t="n"/>
      <c r="B853" s="2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4" t="n"/>
      <c r="S853" s="1" t="n"/>
      <c r="T853" s="1" t="n"/>
      <c r="U853" s="1" t="n"/>
      <c r="V853" s="2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M853" s="1" t="n"/>
      <c r="AW853" s="1" t="n"/>
    </row>
    <row r="854" ht="20.25" customHeight="1">
      <c r="A854" s="1" t="n"/>
      <c r="B854" s="2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4" t="n"/>
      <c r="S854" s="1" t="n"/>
      <c r="T854" s="1" t="n"/>
      <c r="U854" s="1" t="n"/>
      <c r="V854" s="2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M854" s="1" t="n"/>
      <c r="AW854" s="1" t="n"/>
    </row>
    <row r="855" ht="20.25" customHeight="1">
      <c r="A855" s="1" t="n"/>
      <c r="B855" s="2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4" t="n"/>
      <c r="S855" s="1" t="n"/>
      <c r="T855" s="1" t="n"/>
      <c r="U855" s="1" t="n"/>
      <c r="V855" s="2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M855" s="1" t="n"/>
      <c r="AW855" s="1" t="n"/>
    </row>
    <row r="856" ht="20.25" customHeight="1">
      <c r="A856" s="1" t="n"/>
      <c r="B856" s="2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4" t="n"/>
      <c r="S856" s="1" t="n"/>
      <c r="T856" s="1" t="n"/>
      <c r="U856" s="1" t="n"/>
      <c r="V856" s="2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M856" s="1" t="n"/>
      <c r="AW856" s="1" t="n"/>
    </row>
    <row r="857" ht="20.25" customHeight="1">
      <c r="A857" s="1" t="n"/>
      <c r="B857" s="2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4" t="n"/>
      <c r="S857" s="1" t="n"/>
      <c r="T857" s="1" t="n"/>
      <c r="U857" s="1" t="n"/>
      <c r="V857" s="2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M857" s="1" t="n"/>
      <c r="AW857" s="1" t="n"/>
    </row>
    <row r="858" ht="20.25" customHeight="1">
      <c r="A858" s="1" t="n"/>
      <c r="B858" s="2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4" t="n"/>
      <c r="S858" s="1" t="n"/>
      <c r="T858" s="1" t="n"/>
      <c r="U858" s="1" t="n"/>
      <c r="V858" s="2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M858" s="1" t="n"/>
      <c r="AW858" s="1" t="n"/>
    </row>
    <row r="859" ht="20.25" customHeight="1">
      <c r="A859" s="1" t="n"/>
      <c r="B859" s="2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4" t="n"/>
      <c r="S859" s="1" t="n"/>
      <c r="T859" s="1" t="n"/>
      <c r="U859" s="1" t="n"/>
      <c r="V859" s="2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M859" s="1" t="n"/>
      <c r="AW859" s="1" t="n"/>
    </row>
    <row r="860" ht="20.25" customHeight="1">
      <c r="A860" s="1" t="n"/>
      <c r="B860" s="2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4" t="n"/>
      <c r="S860" s="1" t="n"/>
      <c r="T860" s="1" t="n"/>
      <c r="U860" s="1" t="n"/>
      <c r="V860" s="2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M860" s="1" t="n"/>
      <c r="AW860" s="1" t="n"/>
    </row>
    <row r="861" ht="20.25" customHeight="1">
      <c r="A861" s="1" t="n"/>
      <c r="B861" s="2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4" t="n"/>
      <c r="S861" s="1" t="n"/>
      <c r="T861" s="1" t="n"/>
      <c r="U861" s="1" t="n"/>
      <c r="V861" s="2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M861" s="1" t="n"/>
      <c r="AW861" s="1" t="n"/>
    </row>
    <row r="862" ht="20.25" customHeight="1">
      <c r="A862" s="1" t="n"/>
      <c r="B862" s="2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4" t="n"/>
      <c r="S862" s="1" t="n"/>
      <c r="T862" s="1" t="n"/>
      <c r="U862" s="1" t="n"/>
      <c r="V862" s="2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M862" s="1" t="n"/>
      <c r="AW862" s="1" t="n"/>
    </row>
    <row r="863" ht="20.25" customHeight="1">
      <c r="A863" s="1" t="n"/>
      <c r="B863" s="2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4" t="n"/>
      <c r="S863" s="1" t="n"/>
      <c r="T863" s="1" t="n"/>
      <c r="U863" s="1" t="n"/>
      <c r="V863" s="2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M863" s="1" t="n"/>
      <c r="AW863" s="1" t="n"/>
    </row>
    <row r="864" ht="20.25" customHeight="1">
      <c r="A864" s="1" t="n"/>
      <c r="B864" s="2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4" t="n"/>
      <c r="S864" s="1" t="n"/>
      <c r="T864" s="1" t="n"/>
      <c r="U864" s="1" t="n"/>
      <c r="V864" s="2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M864" s="1" t="n"/>
      <c r="AW864" s="1" t="n"/>
    </row>
    <row r="865" ht="20.25" customHeight="1">
      <c r="A865" s="1" t="n"/>
      <c r="B865" s="2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4" t="n"/>
      <c r="S865" s="1" t="n"/>
      <c r="T865" s="1" t="n"/>
      <c r="U865" s="1" t="n"/>
      <c r="V865" s="2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M865" s="1" t="n"/>
      <c r="AW865" s="1" t="n"/>
    </row>
    <row r="866" ht="20.25" customHeight="1">
      <c r="A866" s="1" t="n"/>
      <c r="B866" s="2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4" t="n"/>
      <c r="S866" s="1" t="n"/>
      <c r="T866" s="1" t="n"/>
      <c r="U866" s="1" t="n"/>
      <c r="V866" s="2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M866" s="1" t="n"/>
      <c r="AW866" s="1" t="n"/>
    </row>
    <row r="867" ht="20.25" customHeight="1">
      <c r="A867" s="1" t="n"/>
      <c r="B867" s="2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4" t="n"/>
      <c r="S867" s="1" t="n"/>
      <c r="T867" s="1" t="n"/>
      <c r="U867" s="1" t="n"/>
      <c r="V867" s="2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M867" s="1" t="n"/>
      <c r="AW867" s="1" t="n"/>
    </row>
    <row r="868" ht="20.25" customHeight="1">
      <c r="A868" s="1" t="n"/>
      <c r="B868" s="2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4" t="n"/>
      <c r="S868" s="1" t="n"/>
      <c r="T868" s="1" t="n"/>
      <c r="U868" s="1" t="n"/>
      <c r="V868" s="2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M868" s="1" t="n"/>
      <c r="AW868" s="1" t="n"/>
    </row>
    <row r="869" ht="20.25" customHeight="1">
      <c r="A869" s="1" t="n"/>
      <c r="B869" s="2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4" t="n"/>
      <c r="S869" s="1" t="n"/>
      <c r="T869" s="1" t="n"/>
      <c r="U869" s="1" t="n"/>
      <c r="V869" s="2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M869" s="1" t="n"/>
      <c r="AW869" s="1" t="n"/>
    </row>
    <row r="870" ht="20.25" customHeight="1">
      <c r="A870" s="1" t="n"/>
      <c r="B870" s="2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4" t="n"/>
      <c r="S870" s="1" t="n"/>
      <c r="T870" s="1" t="n"/>
      <c r="U870" s="1" t="n"/>
      <c r="V870" s="2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M870" s="1" t="n"/>
      <c r="AW870" s="1" t="n"/>
    </row>
    <row r="871" ht="20.25" customHeight="1">
      <c r="A871" s="1" t="n"/>
      <c r="B871" s="2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4" t="n"/>
      <c r="S871" s="1" t="n"/>
      <c r="T871" s="1" t="n"/>
      <c r="U871" s="1" t="n"/>
      <c r="V871" s="2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M871" s="1" t="n"/>
      <c r="AW871" s="1" t="n"/>
    </row>
    <row r="872" ht="20.25" customHeight="1">
      <c r="A872" s="1" t="n"/>
      <c r="B872" s="2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4" t="n"/>
      <c r="S872" s="1" t="n"/>
      <c r="T872" s="1" t="n"/>
      <c r="U872" s="1" t="n"/>
      <c r="V872" s="2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M872" s="1" t="n"/>
      <c r="AW872" s="1" t="n"/>
    </row>
    <row r="873" ht="20.25" customHeight="1">
      <c r="A873" s="1" t="n"/>
      <c r="B873" s="2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4" t="n"/>
      <c r="S873" s="1" t="n"/>
      <c r="T873" s="1" t="n"/>
      <c r="U873" s="1" t="n"/>
      <c r="V873" s="2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M873" s="1" t="n"/>
      <c r="AW873" s="1" t="n"/>
    </row>
    <row r="874" ht="20.25" customHeight="1">
      <c r="A874" s="1" t="n"/>
      <c r="B874" s="2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4" t="n"/>
      <c r="S874" s="1" t="n"/>
      <c r="T874" s="1" t="n"/>
      <c r="U874" s="1" t="n"/>
      <c r="V874" s="2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M874" s="1" t="n"/>
      <c r="AW874" s="1" t="n"/>
    </row>
    <row r="875" ht="20.25" customHeight="1">
      <c r="A875" s="1" t="n"/>
      <c r="B875" s="2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4" t="n"/>
      <c r="S875" s="1" t="n"/>
      <c r="T875" s="1" t="n"/>
      <c r="U875" s="1" t="n"/>
      <c r="V875" s="2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M875" s="1" t="n"/>
      <c r="AW875" s="1" t="n"/>
    </row>
    <row r="876" ht="20.25" customHeight="1">
      <c r="A876" s="1" t="n"/>
      <c r="B876" s="2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4" t="n"/>
      <c r="S876" s="1" t="n"/>
      <c r="T876" s="1" t="n"/>
      <c r="U876" s="1" t="n"/>
      <c r="V876" s="2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M876" s="1" t="n"/>
      <c r="AW876" s="1" t="n"/>
    </row>
    <row r="877" ht="20.25" customHeight="1">
      <c r="A877" s="1" t="n"/>
      <c r="B877" s="2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4" t="n"/>
      <c r="S877" s="1" t="n"/>
      <c r="T877" s="1" t="n"/>
      <c r="U877" s="1" t="n"/>
      <c r="V877" s="2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M877" s="1" t="n"/>
      <c r="AW877" s="1" t="n"/>
    </row>
    <row r="878" ht="20.25" customHeight="1">
      <c r="A878" s="1" t="n"/>
      <c r="B878" s="2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4" t="n"/>
      <c r="S878" s="1" t="n"/>
      <c r="T878" s="1" t="n"/>
      <c r="U878" s="1" t="n"/>
      <c r="V878" s="2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M878" s="1" t="n"/>
      <c r="AW878" s="1" t="n"/>
    </row>
    <row r="879" ht="20.25" customHeight="1">
      <c r="A879" s="1" t="n"/>
      <c r="B879" s="2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4" t="n"/>
      <c r="S879" s="1" t="n"/>
      <c r="T879" s="1" t="n"/>
      <c r="U879" s="1" t="n"/>
      <c r="V879" s="2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M879" s="1" t="n"/>
      <c r="AW879" s="1" t="n"/>
    </row>
    <row r="880" ht="20.25" customHeight="1">
      <c r="A880" s="1" t="n"/>
      <c r="B880" s="2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4" t="n"/>
      <c r="S880" s="1" t="n"/>
      <c r="T880" s="1" t="n"/>
      <c r="U880" s="1" t="n"/>
      <c r="V880" s="2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M880" s="1" t="n"/>
      <c r="AW880" s="1" t="n"/>
    </row>
    <row r="881" ht="20.25" customHeight="1">
      <c r="A881" s="1" t="n"/>
      <c r="B881" s="2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4" t="n"/>
      <c r="S881" s="1" t="n"/>
      <c r="T881" s="1" t="n"/>
      <c r="U881" s="1" t="n"/>
      <c r="V881" s="2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M881" s="1" t="n"/>
      <c r="AW881" s="1" t="n"/>
    </row>
    <row r="882" ht="20.25" customHeight="1">
      <c r="A882" s="1" t="n"/>
      <c r="B882" s="2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4" t="n"/>
      <c r="S882" s="1" t="n"/>
      <c r="T882" s="1" t="n"/>
      <c r="U882" s="1" t="n"/>
      <c r="V882" s="2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M882" s="1" t="n"/>
      <c r="AW882" s="1" t="n"/>
    </row>
    <row r="883" ht="20.25" customHeight="1">
      <c r="A883" s="1" t="n"/>
      <c r="B883" s="2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4" t="n"/>
      <c r="S883" s="1" t="n"/>
      <c r="T883" s="1" t="n"/>
      <c r="U883" s="1" t="n"/>
      <c r="V883" s="2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M883" s="1" t="n"/>
      <c r="AW883" s="1" t="n"/>
    </row>
    <row r="884" ht="20.25" customHeight="1">
      <c r="A884" s="1" t="n"/>
      <c r="B884" s="2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4" t="n"/>
      <c r="S884" s="1" t="n"/>
      <c r="T884" s="1" t="n"/>
      <c r="U884" s="1" t="n"/>
      <c r="V884" s="2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M884" s="1" t="n"/>
      <c r="AW884" s="1" t="n"/>
    </row>
    <row r="885" ht="20.25" customHeight="1">
      <c r="A885" s="1" t="n"/>
      <c r="B885" s="2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4" t="n"/>
      <c r="S885" s="1" t="n"/>
      <c r="T885" s="1" t="n"/>
      <c r="U885" s="1" t="n"/>
      <c r="V885" s="2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M885" s="1" t="n"/>
      <c r="AW885" s="1" t="n"/>
    </row>
    <row r="886" ht="20.25" customHeight="1">
      <c r="A886" s="1" t="n"/>
      <c r="B886" s="2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4" t="n"/>
      <c r="S886" s="1" t="n"/>
      <c r="T886" s="1" t="n"/>
      <c r="U886" s="1" t="n"/>
      <c r="V886" s="2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M886" s="1" t="n"/>
      <c r="AW886" s="1" t="n"/>
    </row>
    <row r="887" ht="20.25" customHeight="1">
      <c r="A887" s="1" t="n"/>
      <c r="B887" s="2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4" t="n"/>
      <c r="S887" s="1" t="n"/>
      <c r="T887" s="1" t="n"/>
      <c r="U887" s="1" t="n"/>
      <c r="V887" s="2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M887" s="1" t="n"/>
      <c r="AW887" s="1" t="n"/>
    </row>
    <row r="888" ht="20.25" customHeight="1">
      <c r="A888" s="1" t="n"/>
      <c r="B888" s="2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4" t="n"/>
      <c r="S888" s="1" t="n"/>
      <c r="T888" s="1" t="n"/>
      <c r="U888" s="1" t="n"/>
      <c r="V888" s="2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M888" s="1" t="n"/>
      <c r="AW888" s="1" t="n"/>
    </row>
    <row r="889" ht="20.25" customHeight="1">
      <c r="A889" s="1" t="n"/>
      <c r="B889" s="2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4" t="n"/>
      <c r="S889" s="1" t="n"/>
      <c r="T889" s="1" t="n"/>
      <c r="U889" s="1" t="n"/>
      <c r="V889" s="2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M889" s="1" t="n"/>
      <c r="AW889" s="1" t="n"/>
    </row>
    <row r="890" ht="20.25" customHeight="1">
      <c r="A890" s="1" t="n"/>
      <c r="B890" s="2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4" t="n"/>
      <c r="S890" s="1" t="n"/>
      <c r="T890" s="1" t="n"/>
      <c r="U890" s="1" t="n"/>
      <c r="V890" s="2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M890" s="1" t="n"/>
      <c r="AW890" s="1" t="n"/>
    </row>
    <row r="891" ht="20.25" customHeight="1">
      <c r="A891" s="1" t="n"/>
      <c r="B891" s="2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4" t="n"/>
      <c r="S891" s="1" t="n"/>
      <c r="T891" s="1" t="n"/>
      <c r="U891" s="1" t="n"/>
      <c r="V891" s="2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M891" s="1" t="n"/>
      <c r="AW891" s="1" t="n"/>
    </row>
    <row r="892" ht="20.25" customHeight="1">
      <c r="A892" s="1" t="n"/>
      <c r="B892" s="2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4" t="n"/>
      <c r="S892" s="1" t="n"/>
      <c r="T892" s="1" t="n"/>
      <c r="U892" s="1" t="n"/>
      <c r="V892" s="2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M892" s="1" t="n"/>
      <c r="AW892" s="1" t="n"/>
    </row>
    <row r="893" ht="20.25" customHeight="1">
      <c r="A893" s="1" t="n"/>
      <c r="B893" s="2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4" t="n"/>
      <c r="S893" s="1" t="n"/>
      <c r="T893" s="1" t="n"/>
      <c r="U893" s="1" t="n"/>
      <c r="V893" s="2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M893" s="1" t="n"/>
      <c r="AW893" s="1" t="n"/>
    </row>
    <row r="894" ht="20.25" customHeight="1">
      <c r="A894" s="1" t="n"/>
      <c r="B894" s="2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4" t="n"/>
      <c r="S894" s="1" t="n"/>
      <c r="T894" s="1" t="n"/>
      <c r="U894" s="1" t="n"/>
      <c r="V894" s="2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M894" s="1" t="n"/>
      <c r="AW894" s="1" t="n"/>
    </row>
    <row r="895" ht="20.25" customHeight="1">
      <c r="A895" s="1" t="n"/>
      <c r="B895" s="2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4" t="n"/>
      <c r="S895" s="1" t="n"/>
      <c r="T895" s="1" t="n"/>
      <c r="U895" s="1" t="n"/>
      <c r="V895" s="2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M895" s="1" t="n"/>
      <c r="AW895" s="1" t="n"/>
    </row>
    <row r="896" ht="20.25" customHeight="1">
      <c r="A896" s="1" t="n"/>
      <c r="B896" s="2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4" t="n"/>
      <c r="S896" s="1" t="n"/>
      <c r="T896" s="1" t="n"/>
      <c r="U896" s="1" t="n"/>
      <c r="V896" s="2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M896" s="1" t="n"/>
      <c r="AW896" s="1" t="n"/>
    </row>
    <row r="897" ht="20.25" customHeight="1">
      <c r="A897" s="1" t="n"/>
      <c r="B897" s="2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4" t="n"/>
      <c r="S897" s="1" t="n"/>
      <c r="T897" s="1" t="n"/>
      <c r="U897" s="1" t="n"/>
      <c r="V897" s="2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M897" s="1" t="n"/>
      <c r="AW897" s="1" t="n"/>
    </row>
    <row r="898" ht="20.25" customHeight="1">
      <c r="A898" s="1" t="n"/>
      <c r="B898" s="2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4" t="n"/>
      <c r="S898" s="1" t="n"/>
      <c r="T898" s="1" t="n"/>
      <c r="U898" s="1" t="n"/>
      <c r="V898" s="2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M898" s="1" t="n"/>
      <c r="AW898" s="1" t="n"/>
    </row>
    <row r="899" ht="20.25" customHeight="1">
      <c r="A899" s="1" t="n"/>
      <c r="B899" s="2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4" t="n"/>
      <c r="S899" s="1" t="n"/>
      <c r="T899" s="1" t="n"/>
      <c r="U899" s="1" t="n"/>
      <c r="V899" s="2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M899" s="1" t="n"/>
      <c r="AW899" s="1" t="n"/>
    </row>
    <row r="900" ht="20.25" customHeight="1">
      <c r="A900" s="1" t="n"/>
      <c r="B900" s="2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4" t="n"/>
      <c r="S900" s="1" t="n"/>
      <c r="T900" s="1" t="n"/>
      <c r="U900" s="1" t="n"/>
      <c r="V900" s="2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M900" s="1" t="n"/>
      <c r="AW900" s="1" t="n"/>
    </row>
    <row r="901" ht="20.25" customHeight="1">
      <c r="A901" s="1" t="n"/>
      <c r="B901" s="2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4" t="n"/>
      <c r="S901" s="1" t="n"/>
      <c r="T901" s="1" t="n"/>
      <c r="U901" s="1" t="n"/>
      <c r="V901" s="2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M901" s="1" t="n"/>
      <c r="AW901" s="1" t="n"/>
    </row>
    <row r="902" ht="20.25" customHeight="1">
      <c r="A902" s="1" t="n"/>
      <c r="B902" s="2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4" t="n"/>
      <c r="S902" s="1" t="n"/>
      <c r="T902" s="1" t="n"/>
      <c r="U902" s="1" t="n"/>
      <c r="V902" s="2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M902" s="1" t="n"/>
      <c r="AW902" s="1" t="n"/>
    </row>
    <row r="903" ht="20.25" customHeight="1">
      <c r="A903" s="1" t="n"/>
      <c r="B903" s="2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4" t="n"/>
      <c r="S903" s="1" t="n"/>
      <c r="T903" s="1" t="n"/>
      <c r="U903" s="1" t="n"/>
      <c r="V903" s="2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M903" s="1" t="n"/>
      <c r="AW903" s="1" t="n"/>
    </row>
    <row r="904" ht="20.25" customHeight="1">
      <c r="A904" s="1" t="n"/>
      <c r="B904" s="2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4" t="n"/>
      <c r="S904" s="1" t="n"/>
      <c r="T904" s="1" t="n"/>
      <c r="U904" s="1" t="n"/>
      <c r="V904" s="2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M904" s="1" t="n"/>
      <c r="AW904" s="1" t="n"/>
    </row>
    <row r="905" ht="20.25" customHeight="1">
      <c r="A905" s="1" t="n"/>
      <c r="B905" s="2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4" t="n"/>
      <c r="S905" s="1" t="n"/>
      <c r="T905" s="1" t="n"/>
      <c r="U905" s="1" t="n"/>
      <c r="V905" s="2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M905" s="1" t="n"/>
      <c r="AW905" s="1" t="n"/>
    </row>
    <row r="906" ht="20.25" customHeight="1">
      <c r="A906" s="1" t="n"/>
      <c r="B906" s="2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4" t="n"/>
      <c r="S906" s="1" t="n"/>
      <c r="T906" s="1" t="n"/>
      <c r="U906" s="1" t="n"/>
      <c r="V906" s="2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M906" s="1" t="n"/>
      <c r="AW906" s="1" t="n"/>
    </row>
    <row r="907" ht="20.25" customHeight="1">
      <c r="A907" s="1" t="n"/>
      <c r="B907" s="2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4" t="n"/>
      <c r="S907" s="1" t="n"/>
      <c r="T907" s="1" t="n"/>
      <c r="U907" s="1" t="n"/>
      <c r="V907" s="2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M907" s="1" t="n"/>
      <c r="AW907" s="1" t="n"/>
    </row>
    <row r="908" ht="20.25" customHeight="1">
      <c r="A908" s="1" t="n"/>
      <c r="B908" s="2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4" t="n"/>
      <c r="S908" s="1" t="n"/>
      <c r="T908" s="1" t="n"/>
      <c r="U908" s="1" t="n"/>
      <c r="V908" s="2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M908" s="1" t="n"/>
      <c r="AW908" s="1" t="n"/>
    </row>
    <row r="909" ht="20.25" customHeight="1">
      <c r="A909" s="1" t="n"/>
      <c r="B909" s="2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4" t="n"/>
      <c r="S909" s="1" t="n"/>
      <c r="T909" s="1" t="n"/>
      <c r="U909" s="1" t="n"/>
      <c r="V909" s="2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M909" s="1" t="n"/>
      <c r="AW909" s="1" t="n"/>
    </row>
    <row r="910" ht="20.25" customHeight="1">
      <c r="A910" s="1" t="n"/>
      <c r="B910" s="2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4" t="n"/>
      <c r="S910" s="1" t="n"/>
      <c r="T910" s="1" t="n"/>
      <c r="U910" s="1" t="n"/>
      <c r="V910" s="2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M910" s="1" t="n"/>
      <c r="AW910" s="1" t="n"/>
    </row>
    <row r="911" ht="20.25" customHeight="1">
      <c r="A911" s="1" t="n"/>
      <c r="B911" s="2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4" t="n"/>
      <c r="S911" s="1" t="n"/>
      <c r="T911" s="1" t="n"/>
      <c r="U911" s="1" t="n"/>
      <c r="V911" s="2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M911" s="1" t="n"/>
      <c r="AW911" s="1" t="n"/>
    </row>
    <row r="912" ht="20.25" customHeight="1">
      <c r="A912" s="1" t="n"/>
      <c r="B912" s="2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4" t="n"/>
      <c r="S912" s="1" t="n"/>
      <c r="T912" s="1" t="n"/>
      <c r="U912" s="1" t="n"/>
      <c r="V912" s="2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M912" s="1" t="n"/>
      <c r="AW912" s="1" t="n"/>
    </row>
    <row r="913" ht="20.25" customHeight="1">
      <c r="A913" s="1" t="n"/>
      <c r="B913" s="2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4" t="n"/>
      <c r="S913" s="1" t="n"/>
      <c r="T913" s="1" t="n"/>
      <c r="U913" s="1" t="n"/>
      <c r="V913" s="2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M913" s="1" t="n"/>
      <c r="AW913" s="1" t="n"/>
    </row>
    <row r="914" ht="20.25" customHeight="1">
      <c r="A914" s="1" t="n"/>
      <c r="B914" s="2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4" t="n"/>
      <c r="S914" s="1" t="n"/>
      <c r="T914" s="1" t="n"/>
      <c r="U914" s="1" t="n"/>
      <c r="V914" s="2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M914" s="1" t="n"/>
      <c r="AW914" s="1" t="n"/>
    </row>
    <row r="915" ht="20.25" customHeight="1">
      <c r="A915" s="1" t="n"/>
      <c r="B915" s="2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4" t="n"/>
      <c r="S915" s="1" t="n"/>
      <c r="T915" s="1" t="n"/>
      <c r="U915" s="1" t="n"/>
      <c r="V915" s="2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M915" s="1" t="n"/>
      <c r="AW915" s="1" t="n"/>
    </row>
    <row r="916" ht="20.25" customHeight="1">
      <c r="A916" s="1" t="n"/>
      <c r="B916" s="2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4" t="n"/>
      <c r="S916" s="1" t="n"/>
      <c r="T916" s="1" t="n"/>
      <c r="U916" s="1" t="n"/>
      <c r="V916" s="2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M916" s="1" t="n"/>
      <c r="AW916" s="1" t="n"/>
    </row>
    <row r="917" ht="20.25" customHeight="1">
      <c r="A917" s="1" t="n"/>
      <c r="B917" s="2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4" t="n"/>
      <c r="S917" s="1" t="n"/>
      <c r="T917" s="1" t="n"/>
      <c r="U917" s="1" t="n"/>
      <c r="V917" s="2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M917" s="1" t="n"/>
      <c r="AW917" s="1" t="n"/>
    </row>
    <row r="918" ht="20.25" customHeight="1">
      <c r="A918" s="1" t="n"/>
      <c r="B918" s="2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4" t="n"/>
      <c r="S918" s="1" t="n"/>
      <c r="T918" s="1" t="n"/>
      <c r="U918" s="1" t="n"/>
      <c r="V918" s="2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M918" s="1" t="n"/>
      <c r="AW918" s="1" t="n"/>
    </row>
    <row r="919" ht="20.25" customHeight="1">
      <c r="A919" s="1" t="n"/>
      <c r="B919" s="2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4" t="n"/>
      <c r="S919" s="1" t="n"/>
      <c r="T919" s="1" t="n"/>
      <c r="U919" s="1" t="n"/>
      <c r="V919" s="2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M919" s="1" t="n"/>
      <c r="AW919" s="1" t="n"/>
    </row>
    <row r="920" ht="20.25" customHeight="1">
      <c r="A920" s="1" t="n"/>
      <c r="B920" s="2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4" t="n"/>
      <c r="S920" s="1" t="n"/>
      <c r="T920" s="1" t="n"/>
      <c r="U920" s="1" t="n"/>
      <c r="V920" s="2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M920" s="1" t="n"/>
      <c r="AW920" s="1" t="n"/>
    </row>
    <row r="921" ht="20.25" customHeight="1">
      <c r="A921" s="1" t="n"/>
      <c r="B921" s="2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4" t="n"/>
      <c r="S921" s="1" t="n"/>
      <c r="T921" s="1" t="n"/>
      <c r="U921" s="1" t="n"/>
      <c r="V921" s="2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M921" s="1" t="n"/>
      <c r="AW921" s="1" t="n"/>
    </row>
    <row r="922" ht="20.25" customHeight="1">
      <c r="A922" s="1" t="n"/>
      <c r="B922" s="2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4" t="n"/>
      <c r="S922" s="1" t="n"/>
      <c r="T922" s="1" t="n"/>
      <c r="U922" s="1" t="n"/>
      <c r="V922" s="2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M922" s="1" t="n"/>
      <c r="AW922" s="1" t="n"/>
    </row>
    <row r="923" ht="20.25" customHeight="1">
      <c r="A923" s="1" t="n"/>
      <c r="B923" s="2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4" t="n"/>
      <c r="S923" s="1" t="n"/>
      <c r="T923" s="1" t="n"/>
      <c r="U923" s="1" t="n"/>
      <c r="V923" s="2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M923" s="1" t="n"/>
      <c r="AW923" s="1" t="n"/>
    </row>
    <row r="924" ht="20.25" customHeight="1">
      <c r="A924" s="1" t="n"/>
      <c r="B924" s="2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4" t="n"/>
      <c r="S924" s="1" t="n"/>
      <c r="T924" s="1" t="n"/>
      <c r="U924" s="1" t="n"/>
      <c r="V924" s="2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M924" s="1" t="n"/>
      <c r="AW924" s="1" t="n"/>
    </row>
    <row r="925" ht="20.25" customHeight="1">
      <c r="A925" s="1" t="n"/>
      <c r="B925" s="2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4" t="n"/>
      <c r="S925" s="1" t="n"/>
      <c r="T925" s="1" t="n"/>
      <c r="U925" s="1" t="n"/>
      <c r="V925" s="2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M925" s="1" t="n"/>
      <c r="AW925" s="1" t="n"/>
    </row>
    <row r="926" ht="20.25" customHeight="1">
      <c r="A926" s="1" t="n"/>
      <c r="B926" s="2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4" t="n"/>
      <c r="S926" s="1" t="n"/>
      <c r="T926" s="1" t="n"/>
      <c r="U926" s="1" t="n"/>
      <c r="V926" s="2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M926" s="1" t="n"/>
      <c r="AW926" s="1" t="n"/>
    </row>
    <row r="927" ht="20.25" customHeight="1">
      <c r="A927" s="1" t="n"/>
      <c r="B927" s="2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4" t="n"/>
      <c r="S927" s="1" t="n"/>
      <c r="T927" s="1" t="n"/>
      <c r="U927" s="1" t="n"/>
      <c r="V927" s="2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M927" s="1" t="n"/>
      <c r="AW927" s="1" t="n"/>
    </row>
    <row r="928" ht="20.25" customHeight="1">
      <c r="A928" s="1" t="n"/>
      <c r="B928" s="2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4" t="n"/>
      <c r="S928" s="1" t="n"/>
      <c r="T928" s="1" t="n"/>
      <c r="U928" s="1" t="n"/>
      <c r="V928" s="2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M928" s="1" t="n"/>
      <c r="AW928" s="1" t="n"/>
    </row>
    <row r="929" ht="20.25" customHeight="1">
      <c r="A929" s="1" t="n"/>
      <c r="B929" s="2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4" t="n"/>
      <c r="S929" s="1" t="n"/>
      <c r="T929" s="1" t="n"/>
      <c r="U929" s="1" t="n"/>
      <c r="V929" s="2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M929" s="1" t="n"/>
      <c r="AW929" s="1" t="n"/>
    </row>
    <row r="930" ht="20.25" customHeight="1">
      <c r="A930" s="1" t="n"/>
      <c r="B930" s="2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4" t="n"/>
      <c r="S930" s="1" t="n"/>
      <c r="T930" s="1" t="n"/>
      <c r="U930" s="1" t="n"/>
      <c r="V930" s="2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M930" s="1" t="n"/>
      <c r="AW930" s="1" t="n"/>
    </row>
    <row r="931" ht="20.25" customHeight="1">
      <c r="A931" s="1" t="n"/>
      <c r="B931" s="2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4" t="n"/>
      <c r="S931" s="1" t="n"/>
      <c r="T931" s="1" t="n"/>
      <c r="U931" s="1" t="n"/>
      <c r="V931" s="2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M931" s="1" t="n"/>
      <c r="AW931" s="1" t="n"/>
    </row>
    <row r="932" ht="20.25" customHeight="1">
      <c r="A932" s="1" t="n"/>
      <c r="B932" s="2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4" t="n"/>
      <c r="S932" s="1" t="n"/>
      <c r="T932" s="1" t="n"/>
      <c r="U932" s="1" t="n"/>
      <c r="V932" s="2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M932" s="1" t="n"/>
      <c r="AW932" s="1" t="n"/>
    </row>
    <row r="933" ht="20.25" customHeight="1">
      <c r="A933" s="1" t="n"/>
      <c r="B933" s="2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4" t="n"/>
      <c r="S933" s="1" t="n"/>
      <c r="T933" s="1" t="n"/>
      <c r="U933" s="1" t="n"/>
      <c r="V933" s="2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M933" s="1" t="n"/>
      <c r="AW933" s="1" t="n"/>
    </row>
    <row r="934" ht="20.25" customHeight="1">
      <c r="A934" s="1" t="n"/>
      <c r="B934" s="2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4" t="n"/>
      <c r="S934" s="1" t="n"/>
      <c r="T934" s="1" t="n"/>
      <c r="U934" s="1" t="n"/>
      <c r="V934" s="2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M934" s="1" t="n"/>
      <c r="AW934" s="1" t="n"/>
    </row>
    <row r="935" ht="20.25" customHeight="1">
      <c r="A935" s="1" t="n"/>
      <c r="B935" s="2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4" t="n"/>
      <c r="S935" s="1" t="n"/>
      <c r="T935" s="1" t="n"/>
      <c r="U935" s="1" t="n"/>
      <c r="V935" s="2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M935" s="1" t="n"/>
      <c r="AW935" s="1" t="n"/>
    </row>
    <row r="936" ht="20.25" customHeight="1">
      <c r="A936" s="1" t="n"/>
      <c r="B936" s="2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4" t="n"/>
      <c r="S936" s="1" t="n"/>
      <c r="T936" s="1" t="n"/>
      <c r="U936" s="1" t="n"/>
      <c r="V936" s="2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M936" s="1" t="n"/>
      <c r="AW936" s="1" t="n"/>
    </row>
    <row r="937" ht="20.25" customHeight="1">
      <c r="A937" s="1" t="n"/>
      <c r="B937" s="2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4" t="n"/>
      <c r="S937" s="1" t="n"/>
      <c r="T937" s="1" t="n"/>
      <c r="U937" s="1" t="n"/>
      <c r="V937" s="2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M937" s="1" t="n"/>
      <c r="AW937" s="1" t="n"/>
    </row>
    <row r="938" ht="20.25" customHeight="1">
      <c r="A938" s="1" t="n"/>
      <c r="B938" s="2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4" t="n"/>
      <c r="S938" s="1" t="n"/>
      <c r="T938" s="1" t="n"/>
      <c r="U938" s="1" t="n"/>
      <c r="V938" s="2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M938" s="1" t="n"/>
      <c r="AW938" s="1" t="n"/>
    </row>
    <row r="939" ht="20.25" customHeight="1">
      <c r="A939" s="1" t="n"/>
      <c r="B939" s="2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4" t="n"/>
      <c r="S939" s="1" t="n"/>
      <c r="T939" s="1" t="n"/>
      <c r="U939" s="1" t="n"/>
      <c r="V939" s="2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M939" s="1" t="n"/>
      <c r="AW939" s="1" t="n"/>
    </row>
    <row r="940" ht="20.25" customHeight="1">
      <c r="A940" s="1" t="n"/>
      <c r="B940" s="2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4" t="n"/>
      <c r="S940" s="1" t="n"/>
      <c r="T940" s="1" t="n"/>
      <c r="U940" s="1" t="n"/>
      <c r="V940" s="2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M940" s="1" t="n"/>
      <c r="AW940" s="1" t="n"/>
    </row>
    <row r="941" ht="20.25" customHeight="1">
      <c r="A941" s="1" t="n"/>
      <c r="B941" s="2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4" t="n"/>
      <c r="S941" s="1" t="n"/>
      <c r="T941" s="1" t="n"/>
      <c r="U941" s="1" t="n"/>
      <c r="V941" s="2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M941" s="1" t="n"/>
      <c r="AW941" s="1" t="n"/>
    </row>
    <row r="942" ht="20.25" customHeight="1">
      <c r="A942" s="1" t="n"/>
      <c r="B942" s="2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4" t="n"/>
      <c r="S942" s="1" t="n"/>
      <c r="T942" s="1" t="n"/>
      <c r="U942" s="1" t="n"/>
      <c r="V942" s="2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M942" s="1" t="n"/>
      <c r="AW942" s="1" t="n"/>
    </row>
    <row r="943" ht="20.25" customHeight="1">
      <c r="A943" s="1" t="n"/>
      <c r="B943" s="2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4" t="n"/>
      <c r="S943" s="1" t="n"/>
      <c r="T943" s="1" t="n"/>
      <c r="U943" s="1" t="n"/>
      <c r="V943" s="2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M943" s="1" t="n"/>
      <c r="AW943" s="1" t="n"/>
    </row>
    <row r="944" ht="20.25" customHeight="1">
      <c r="A944" s="1" t="n"/>
      <c r="B944" s="2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4" t="n"/>
      <c r="S944" s="1" t="n"/>
      <c r="T944" s="1" t="n"/>
      <c r="U944" s="1" t="n"/>
      <c r="V944" s="2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M944" s="1" t="n"/>
      <c r="AW944" s="1" t="n"/>
    </row>
    <row r="945" ht="20.25" customHeight="1">
      <c r="A945" s="1" t="n"/>
      <c r="B945" s="2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4" t="n"/>
      <c r="S945" s="1" t="n"/>
      <c r="T945" s="1" t="n"/>
      <c r="U945" s="1" t="n"/>
      <c r="V945" s="2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M945" s="1" t="n"/>
      <c r="AW945" s="1" t="n"/>
    </row>
    <row r="946" ht="20.25" customHeight="1">
      <c r="A946" s="1" t="n"/>
      <c r="B946" s="2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4" t="n"/>
      <c r="S946" s="1" t="n"/>
      <c r="T946" s="1" t="n"/>
      <c r="U946" s="1" t="n"/>
      <c r="V946" s="2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M946" s="1" t="n"/>
      <c r="AW946" s="1" t="n"/>
    </row>
    <row r="947" ht="20.25" customHeight="1">
      <c r="A947" s="1" t="n"/>
      <c r="B947" s="2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4" t="n"/>
      <c r="S947" s="1" t="n"/>
      <c r="T947" s="1" t="n"/>
      <c r="U947" s="1" t="n"/>
      <c r="V947" s="2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M947" s="1" t="n"/>
      <c r="AW947" s="1" t="n"/>
    </row>
    <row r="948" ht="20.25" customHeight="1">
      <c r="A948" s="1" t="n"/>
      <c r="B948" s="2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4" t="n"/>
      <c r="S948" s="1" t="n"/>
      <c r="T948" s="1" t="n"/>
      <c r="U948" s="1" t="n"/>
      <c r="V948" s="2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M948" s="1" t="n"/>
      <c r="AW948" s="1" t="n"/>
    </row>
    <row r="949" ht="20.25" customHeight="1">
      <c r="A949" s="1" t="n"/>
      <c r="B949" s="2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4" t="n"/>
      <c r="S949" s="1" t="n"/>
      <c r="T949" s="1" t="n"/>
      <c r="U949" s="1" t="n"/>
      <c r="V949" s="2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M949" s="1" t="n"/>
      <c r="AW949" s="1" t="n"/>
    </row>
    <row r="950" ht="20.25" customHeight="1">
      <c r="A950" s="1" t="n"/>
      <c r="B950" s="2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4" t="n"/>
      <c r="S950" s="1" t="n"/>
      <c r="T950" s="1" t="n"/>
      <c r="U950" s="1" t="n"/>
      <c r="V950" s="2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M950" s="1" t="n"/>
      <c r="AW950" s="1" t="n"/>
    </row>
    <row r="951" ht="20.25" customHeight="1">
      <c r="A951" s="1" t="n"/>
      <c r="B951" s="2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4" t="n"/>
      <c r="S951" s="1" t="n"/>
      <c r="T951" s="1" t="n"/>
      <c r="U951" s="1" t="n"/>
      <c r="V951" s="2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M951" s="1" t="n"/>
      <c r="AW951" s="1" t="n"/>
    </row>
    <row r="952" ht="20.25" customHeight="1">
      <c r="A952" s="1" t="n"/>
      <c r="B952" s="2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4" t="n"/>
      <c r="S952" s="1" t="n"/>
      <c r="T952" s="1" t="n"/>
      <c r="U952" s="1" t="n"/>
      <c r="V952" s="2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M952" s="1" t="n"/>
      <c r="AW952" s="1" t="n"/>
    </row>
    <row r="953" ht="20.25" customHeight="1">
      <c r="A953" s="1" t="n"/>
      <c r="B953" s="2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4" t="n"/>
      <c r="S953" s="1" t="n"/>
      <c r="T953" s="1" t="n"/>
      <c r="U953" s="1" t="n"/>
      <c r="V953" s="2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M953" s="1" t="n"/>
      <c r="AW953" s="1" t="n"/>
    </row>
    <row r="954" ht="20.25" customHeight="1">
      <c r="A954" s="1" t="n"/>
      <c r="B954" s="2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4" t="n"/>
      <c r="S954" s="1" t="n"/>
      <c r="T954" s="1" t="n"/>
      <c r="U954" s="1" t="n"/>
      <c r="V954" s="2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M954" s="1" t="n"/>
      <c r="AW954" s="1" t="n"/>
    </row>
    <row r="955" ht="20.25" customHeight="1">
      <c r="A955" s="1" t="n"/>
      <c r="B955" s="2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4" t="n"/>
      <c r="S955" s="1" t="n"/>
      <c r="T955" s="1" t="n"/>
      <c r="U955" s="1" t="n"/>
      <c r="V955" s="2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M955" s="1" t="n"/>
      <c r="AW955" s="1" t="n"/>
    </row>
    <row r="956" ht="20.25" customHeight="1">
      <c r="A956" s="1" t="n"/>
      <c r="B956" s="2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4" t="n"/>
      <c r="S956" s="1" t="n"/>
      <c r="T956" s="1" t="n"/>
      <c r="U956" s="1" t="n"/>
      <c r="V956" s="2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M956" s="1" t="n"/>
      <c r="AW956" s="1" t="n"/>
    </row>
    <row r="957" ht="20.25" customHeight="1">
      <c r="A957" s="1" t="n"/>
      <c r="B957" s="2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4" t="n"/>
      <c r="S957" s="1" t="n"/>
      <c r="T957" s="1" t="n"/>
      <c r="U957" s="1" t="n"/>
      <c r="V957" s="2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M957" s="1" t="n"/>
      <c r="AW957" s="1" t="n"/>
    </row>
    <row r="958" ht="20.25" customHeight="1">
      <c r="A958" s="1" t="n"/>
      <c r="B958" s="2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4" t="n"/>
      <c r="S958" s="1" t="n"/>
      <c r="T958" s="1" t="n"/>
      <c r="U958" s="1" t="n"/>
      <c r="V958" s="2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M958" s="1" t="n"/>
      <c r="AW958" s="1" t="n"/>
    </row>
    <row r="959" ht="20.25" customHeight="1">
      <c r="A959" s="1" t="n"/>
      <c r="B959" s="2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4" t="n"/>
      <c r="S959" s="1" t="n"/>
      <c r="T959" s="1" t="n"/>
      <c r="U959" s="1" t="n"/>
      <c r="V959" s="2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M959" s="1" t="n"/>
      <c r="AW959" s="1" t="n"/>
    </row>
    <row r="960" ht="20.25" customHeight="1">
      <c r="A960" s="1" t="n"/>
      <c r="B960" s="2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4" t="n"/>
      <c r="S960" s="1" t="n"/>
      <c r="T960" s="1" t="n"/>
      <c r="U960" s="1" t="n"/>
      <c r="V960" s="2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M960" s="1" t="n"/>
      <c r="AW960" s="1" t="n"/>
    </row>
    <row r="961" ht="20.25" customHeight="1">
      <c r="A961" s="1" t="n"/>
      <c r="B961" s="2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4" t="n"/>
      <c r="S961" s="1" t="n"/>
      <c r="T961" s="1" t="n"/>
      <c r="U961" s="1" t="n"/>
      <c r="V961" s="2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M961" s="1" t="n"/>
      <c r="AW961" s="1" t="n"/>
    </row>
    <row r="962" ht="20.25" customHeight="1">
      <c r="A962" s="1" t="n"/>
      <c r="B962" s="2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4" t="n"/>
      <c r="S962" s="1" t="n"/>
      <c r="T962" s="1" t="n"/>
      <c r="U962" s="1" t="n"/>
      <c r="V962" s="2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M962" s="1" t="n"/>
      <c r="AW962" s="1" t="n"/>
    </row>
    <row r="963" ht="20.25" customHeight="1">
      <c r="A963" s="1" t="n"/>
      <c r="B963" s="2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4" t="n"/>
      <c r="S963" s="1" t="n"/>
      <c r="T963" s="1" t="n"/>
      <c r="U963" s="1" t="n"/>
      <c r="V963" s="2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M963" s="1" t="n"/>
      <c r="AW963" s="1" t="n"/>
    </row>
    <row r="964" ht="20.25" customHeight="1">
      <c r="A964" s="1" t="n"/>
      <c r="B964" s="2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4" t="n"/>
      <c r="S964" s="1" t="n"/>
      <c r="T964" s="1" t="n"/>
      <c r="U964" s="1" t="n"/>
      <c r="V964" s="2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M964" s="1" t="n"/>
      <c r="AW964" s="1" t="n"/>
    </row>
    <row r="965" ht="20.25" customHeight="1">
      <c r="A965" s="1" t="n"/>
      <c r="B965" s="2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4" t="n"/>
      <c r="S965" s="1" t="n"/>
      <c r="T965" s="1" t="n"/>
      <c r="U965" s="1" t="n"/>
      <c r="V965" s="2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M965" s="1" t="n"/>
      <c r="AW965" s="1" t="n"/>
    </row>
    <row r="966" ht="20.25" customHeight="1">
      <c r="A966" s="1" t="n"/>
      <c r="B966" s="2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4" t="n"/>
      <c r="S966" s="1" t="n"/>
      <c r="T966" s="1" t="n"/>
      <c r="U966" s="1" t="n"/>
      <c r="V966" s="2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M966" s="1" t="n"/>
      <c r="AW966" s="1" t="n"/>
    </row>
    <row r="967" ht="20.25" customHeight="1">
      <c r="A967" s="1" t="n"/>
      <c r="B967" s="2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4" t="n"/>
      <c r="S967" s="1" t="n"/>
      <c r="T967" s="1" t="n"/>
      <c r="U967" s="1" t="n"/>
      <c r="V967" s="2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M967" s="1" t="n"/>
      <c r="AW967" s="1" t="n"/>
    </row>
    <row r="968" ht="20.25" customHeight="1">
      <c r="A968" s="1" t="n"/>
      <c r="B968" s="2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4" t="n"/>
      <c r="S968" s="1" t="n"/>
      <c r="T968" s="1" t="n"/>
      <c r="U968" s="1" t="n"/>
      <c r="V968" s="2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M968" s="1" t="n"/>
      <c r="AW968" s="1" t="n"/>
    </row>
    <row r="969" ht="20.25" customHeight="1">
      <c r="A969" s="1" t="n"/>
      <c r="B969" s="2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4" t="n"/>
      <c r="S969" s="1" t="n"/>
      <c r="T969" s="1" t="n"/>
      <c r="U969" s="1" t="n"/>
      <c r="V969" s="2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M969" s="1" t="n"/>
      <c r="AW969" s="1" t="n"/>
    </row>
    <row r="970" ht="20.25" customHeight="1">
      <c r="A970" s="1" t="n"/>
      <c r="B970" s="2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4" t="n"/>
      <c r="S970" s="1" t="n"/>
      <c r="T970" s="1" t="n"/>
      <c r="U970" s="1" t="n"/>
      <c r="V970" s="2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M970" s="1" t="n"/>
      <c r="AW970" s="1" t="n"/>
    </row>
    <row r="971" ht="20.25" customHeight="1">
      <c r="A971" s="1" t="n"/>
      <c r="B971" s="2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4" t="n"/>
      <c r="S971" s="1" t="n"/>
      <c r="T971" s="1" t="n"/>
      <c r="U971" s="1" t="n"/>
      <c r="V971" s="2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M971" s="1" t="n"/>
      <c r="AW971" s="1" t="n"/>
    </row>
    <row r="972" ht="20.25" customHeight="1">
      <c r="A972" s="1" t="n"/>
      <c r="B972" s="2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4" t="n"/>
      <c r="S972" s="1" t="n"/>
      <c r="T972" s="1" t="n"/>
      <c r="U972" s="1" t="n"/>
      <c r="V972" s="2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M972" s="1" t="n"/>
      <c r="AW972" s="1" t="n"/>
    </row>
    <row r="973" ht="20.25" customHeight="1">
      <c r="A973" s="1" t="n"/>
      <c r="B973" s="2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4" t="n"/>
      <c r="S973" s="1" t="n"/>
      <c r="T973" s="1" t="n"/>
      <c r="U973" s="1" t="n"/>
      <c r="V973" s="2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M973" s="1" t="n"/>
      <c r="AW973" s="1" t="n"/>
    </row>
    <row r="974" ht="20.25" customHeight="1">
      <c r="A974" s="1" t="n"/>
      <c r="B974" s="2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4" t="n"/>
      <c r="S974" s="1" t="n"/>
      <c r="T974" s="1" t="n"/>
      <c r="U974" s="1" t="n"/>
      <c r="V974" s="2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M974" s="1" t="n"/>
      <c r="AW974" s="1" t="n"/>
    </row>
    <row r="975" ht="20.25" customHeight="1">
      <c r="A975" s="1" t="n"/>
      <c r="B975" s="2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4" t="n"/>
      <c r="S975" s="1" t="n"/>
      <c r="T975" s="1" t="n"/>
      <c r="U975" s="1" t="n"/>
      <c r="V975" s="2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M975" s="1" t="n"/>
      <c r="AW975" s="1" t="n"/>
    </row>
    <row r="976" ht="20.25" customHeight="1">
      <c r="A976" s="1" t="n"/>
      <c r="B976" s="2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4" t="n"/>
      <c r="S976" s="1" t="n"/>
      <c r="T976" s="1" t="n"/>
      <c r="U976" s="1" t="n"/>
      <c r="V976" s="2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M976" s="1" t="n"/>
      <c r="AW976" s="1" t="n"/>
    </row>
    <row r="977" ht="20.25" customHeight="1">
      <c r="A977" s="1" t="n"/>
      <c r="B977" s="2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4" t="n"/>
      <c r="S977" s="1" t="n"/>
      <c r="T977" s="1" t="n"/>
      <c r="U977" s="1" t="n"/>
      <c r="V977" s="2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M977" s="1" t="n"/>
      <c r="AW977" s="1" t="n"/>
    </row>
    <row r="978" ht="20.25" customHeight="1">
      <c r="A978" s="1" t="n"/>
      <c r="B978" s="2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4" t="n"/>
      <c r="S978" s="1" t="n"/>
      <c r="T978" s="1" t="n"/>
      <c r="U978" s="1" t="n"/>
      <c r="V978" s="2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M978" s="1" t="n"/>
      <c r="AW978" s="1" t="n"/>
    </row>
    <row r="979" ht="20.25" customHeight="1">
      <c r="A979" s="1" t="n"/>
      <c r="B979" s="2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4" t="n"/>
      <c r="S979" s="1" t="n"/>
      <c r="T979" s="1" t="n"/>
      <c r="U979" s="1" t="n"/>
      <c r="V979" s="2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M979" s="1" t="n"/>
      <c r="AW979" s="1" t="n"/>
    </row>
    <row r="980" ht="20.25" customHeight="1">
      <c r="A980" s="1" t="n"/>
      <c r="B980" s="2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4" t="n"/>
      <c r="S980" s="1" t="n"/>
      <c r="T980" s="1" t="n"/>
      <c r="U980" s="1" t="n"/>
      <c r="V980" s="2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M980" s="1" t="n"/>
      <c r="AW980" s="1" t="n"/>
    </row>
    <row r="981" ht="20.25" customHeight="1">
      <c r="A981" s="1" t="n"/>
      <c r="B981" s="2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4" t="n"/>
      <c r="S981" s="1" t="n"/>
      <c r="T981" s="1" t="n"/>
      <c r="U981" s="1" t="n"/>
      <c r="V981" s="2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M981" s="1" t="n"/>
      <c r="AW981" s="1" t="n"/>
    </row>
    <row r="982" ht="20.25" customHeight="1">
      <c r="A982" s="1" t="n"/>
      <c r="B982" s="2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4" t="n"/>
      <c r="S982" s="1" t="n"/>
      <c r="T982" s="1" t="n"/>
      <c r="U982" s="1" t="n"/>
      <c r="V982" s="2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M982" s="1" t="n"/>
      <c r="AW982" s="1" t="n"/>
    </row>
    <row r="983" ht="20.25" customHeight="1">
      <c r="A983" s="1" t="n"/>
      <c r="B983" s="2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4" t="n"/>
      <c r="S983" s="1" t="n"/>
      <c r="T983" s="1" t="n"/>
      <c r="U983" s="1" t="n"/>
      <c r="V983" s="2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M983" s="1" t="n"/>
      <c r="AW983" s="1" t="n"/>
    </row>
    <row r="984" ht="20.25" customHeight="1">
      <c r="A984" s="1" t="n"/>
      <c r="B984" s="2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4" t="n"/>
      <c r="S984" s="1" t="n"/>
      <c r="T984" s="1" t="n"/>
      <c r="U984" s="1" t="n"/>
      <c r="V984" s="2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M984" s="1" t="n"/>
      <c r="AW984" s="1" t="n"/>
    </row>
    <row r="985" ht="20.25" customHeight="1">
      <c r="A985" s="1" t="n"/>
      <c r="B985" s="2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4" t="n"/>
      <c r="S985" s="1" t="n"/>
      <c r="T985" s="1" t="n"/>
      <c r="U985" s="1" t="n"/>
      <c r="V985" s="2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M985" s="1" t="n"/>
      <c r="AW985" s="1" t="n"/>
    </row>
    <row r="986" ht="20.25" customHeight="1">
      <c r="A986" s="1" t="n"/>
      <c r="B986" s="2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4" t="n"/>
      <c r="S986" s="1" t="n"/>
      <c r="T986" s="1" t="n"/>
      <c r="U986" s="1" t="n"/>
      <c r="V986" s="2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M986" s="1" t="n"/>
      <c r="AW986" s="1" t="n"/>
    </row>
    <row r="987" ht="20.25" customHeight="1">
      <c r="A987" s="1" t="n"/>
      <c r="B987" s="2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4" t="n"/>
      <c r="S987" s="1" t="n"/>
      <c r="T987" s="1" t="n"/>
      <c r="U987" s="1" t="n"/>
      <c r="V987" s="2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M987" s="1" t="n"/>
      <c r="AW987" s="1" t="n"/>
    </row>
    <row r="988" ht="20.25" customHeight="1">
      <c r="A988" s="1" t="n"/>
      <c r="B988" s="2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4" t="n"/>
      <c r="S988" s="1" t="n"/>
      <c r="T988" s="1" t="n"/>
      <c r="U988" s="1" t="n"/>
      <c r="V988" s="2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M988" s="1" t="n"/>
      <c r="AW988" s="1" t="n"/>
    </row>
    <row r="989" ht="20.25" customHeight="1">
      <c r="A989" s="1" t="n"/>
      <c r="B989" s="2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4" t="n"/>
      <c r="S989" s="1" t="n"/>
      <c r="T989" s="1" t="n"/>
      <c r="U989" s="1" t="n"/>
      <c r="V989" s="2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M989" s="1" t="n"/>
      <c r="AW989" s="1" t="n"/>
    </row>
    <row r="990" ht="20.25" customHeight="1">
      <c r="A990" s="1" t="n"/>
      <c r="B990" s="2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4" t="n"/>
      <c r="S990" s="1" t="n"/>
      <c r="T990" s="1" t="n"/>
      <c r="U990" s="1" t="n"/>
      <c r="V990" s="2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M990" s="1" t="n"/>
      <c r="AW990" s="1" t="n"/>
    </row>
    <row r="991" ht="20.25" customHeight="1">
      <c r="A991" s="1" t="n"/>
      <c r="B991" s="2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4" t="n"/>
      <c r="S991" s="1" t="n"/>
      <c r="T991" s="1" t="n"/>
      <c r="U991" s="1" t="n"/>
      <c r="V991" s="2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M991" s="1" t="n"/>
      <c r="AW991" s="1" t="n"/>
    </row>
    <row r="992" ht="20.25" customHeight="1">
      <c r="A992" s="1" t="n"/>
      <c r="B992" s="2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4" t="n"/>
      <c r="S992" s="1" t="n"/>
      <c r="T992" s="1" t="n"/>
      <c r="U992" s="1" t="n"/>
      <c r="V992" s="2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M992" s="1" t="n"/>
      <c r="AW992" s="1" t="n"/>
    </row>
    <row r="993" ht="20.25" customHeight="1">
      <c r="A993" s="1" t="n"/>
      <c r="B993" s="2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4" t="n"/>
      <c r="S993" s="1" t="n"/>
      <c r="T993" s="1" t="n"/>
      <c r="U993" s="1" t="n"/>
      <c r="V993" s="2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M993" s="1" t="n"/>
      <c r="AW993" s="1" t="n"/>
    </row>
    <row r="994" ht="20.25" customHeight="1">
      <c r="A994" s="1" t="n"/>
      <c r="B994" s="2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4" t="n"/>
      <c r="S994" s="1" t="n"/>
      <c r="T994" s="1" t="n"/>
      <c r="U994" s="1" t="n"/>
      <c r="V994" s="2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M994" s="1" t="n"/>
      <c r="AW994" s="1" t="n"/>
    </row>
    <row r="995" ht="20.25" customHeight="1">
      <c r="A995" s="1" t="n"/>
      <c r="B995" s="2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4" t="n"/>
      <c r="S995" s="1" t="n"/>
      <c r="T995" s="1" t="n"/>
      <c r="U995" s="1" t="n"/>
      <c r="V995" s="2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M995" s="1" t="n"/>
      <c r="AW995" s="1" t="n"/>
    </row>
    <row r="996" ht="20.25" customHeight="1">
      <c r="A996" s="1" t="n"/>
      <c r="B996" s="2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4" t="n"/>
      <c r="S996" s="1" t="n"/>
      <c r="T996" s="1" t="n"/>
      <c r="U996" s="1" t="n"/>
      <c r="V996" s="2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M996" s="1" t="n"/>
      <c r="AW996" s="1" t="n"/>
    </row>
    <row r="997" ht="20.25" customHeight="1">
      <c r="A997" s="1" t="n"/>
      <c r="B997" s="2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4" t="n"/>
      <c r="S997" s="1" t="n"/>
      <c r="T997" s="1" t="n"/>
      <c r="U997" s="1" t="n"/>
      <c r="V997" s="2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M997" s="1" t="n"/>
      <c r="AW997" s="1" t="n"/>
    </row>
    <row r="998" ht="20.25" customHeight="1">
      <c r="A998" s="1" t="n"/>
      <c r="B998" s="2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4" t="n"/>
      <c r="S998" s="1" t="n"/>
      <c r="T998" s="1" t="n"/>
      <c r="U998" s="1" t="n"/>
      <c r="V998" s="2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M998" s="1" t="n"/>
      <c r="AW998" s="1" t="n"/>
    </row>
    <row r="999" ht="20.25" customHeight="1">
      <c r="A999" s="1" t="n"/>
      <c r="B999" s="2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4" t="n"/>
      <c r="S999" s="1" t="n"/>
      <c r="T999" s="1" t="n"/>
      <c r="U999" s="1" t="n"/>
      <c r="V999" s="2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M999" s="1" t="n"/>
      <c r="AW999" s="1" t="n"/>
    </row>
    <row r="1000" ht="20.25" customHeight="1">
      <c r="A1000" s="1" t="n"/>
      <c r="B1000" s="2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4" t="n"/>
      <c r="S1000" s="1" t="n"/>
      <c r="T1000" s="1" t="n"/>
      <c r="U1000" s="1" t="n"/>
      <c r="V1000" s="2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M1000" s="1" t="n"/>
      <c r="AW1000" s="1" t="n"/>
    </row>
    <row r="1001" ht="20.25" customHeight="1">
      <c r="A1001" s="1" t="n"/>
      <c r="B1001" s="2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4" t="n"/>
      <c r="S1001" s="1" t="n"/>
      <c r="T1001" s="1" t="n"/>
      <c r="U1001" s="1" t="n"/>
      <c r="V1001" s="2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M1001" s="1" t="n"/>
      <c r="AW1001" s="1" t="n"/>
    </row>
    <row r="1002" ht="20.25" customHeight="1">
      <c r="A1002" s="1" t="n"/>
      <c r="B1002" s="2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4" t="n"/>
      <c r="S1002" s="1" t="n"/>
      <c r="T1002" s="1" t="n"/>
      <c r="U1002" s="1" t="n"/>
      <c r="V1002" s="2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M1002" s="1" t="n"/>
      <c r="AW1002" s="1" t="n"/>
    </row>
    <row r="1003" ht="20.25" customHeight="1">
      <c r="A1003" s="1" t="n"/>
      <c r="B1003" s="2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4" t="n"/>
      <c r="S1003" s="1" t="n"/>
      <c r="T1003" s="1" t="n"/>
      <c r="U1003" s="1" t="n"/>
      <c r="V1003" s="2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M1003" s="1" t="n"/>
      <c r="AW1003" s="1" t="n"/>
    </row>
    <row r="1004" ht="20.25" customHeight="1">
      <c r="A1004" s="1" t="n"/>
      <c r="B1004" s="2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4" t="n"/>
      <c r="S1004" s="1" t="n"/>
      <c r="T1004" s="1" t="n"/>
      <c r="U1004" s="1" t="n"/>
      <c r="V1004" s="2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M1004" s="1" t="n"/>
      <c r="AW1004" s="1" t="n"/>
    </row>
    <row r="1005" ht="20.25" customHeight="1">
      <c r="A1005" s="1" t="n"/>
      <c r="B1005" s="2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4" t="n"/>
      <c r="S1005" s="1" t="n"/>
      <c r="T1005" s="1" t="n"/>
      <c r="U1005" s="1" t="n"/>
      <c r="V1005" s="2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M1005" s="1" t="n"/>
      <c r="AW1005" s="1" t="n"/>
    </row>
    <row r="1006" ht="20.25" customHeight="1">
      <c r="A1006" s="1" t="n"/>
      <c r="B1006" s="2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4" t="n"/>
      <c r="S1006" s="1" t="n"/>
      <c r="T1006" s="1" t="n"/>
      <c r="U1006" s="1" t="n"/>
      <c r="V1006" s="2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M1006" s="1" t="n"/>
      <c r="AW1006" s="1" t="n"/>
    </row>
  </sheetData>
  <mergeCells count="5">
    <mergeCell ref="V5:X5"/>
    <mergeCell ref="AC39:AL39"/>
    <mergeCell ref="AC20:AL20"/>
    <mergeCell ref="AC1:AL1"/>
    <mergeCell ref="C2:O2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topLeftCell="B1" zoomScale="280" zoomScaleNormal="280" workbookViewId="0">
      <selection activeCell="B2" sqref="B2"/>
    </sheetView>
  </sheetViews>
  <sheetFormatPr baseColWidth="8" defaultRowHeight="14.25"/>
  <cols>
    <col width="23.796875" bestFit="1" customWidth="1" min="1" max="1"/>
    <col width="26.33203125" bestFit="1" customWidth="1" min="2" max="2"/>
  </cols>
  <sheetData>
    <row r="1">
      <c r="A1" s="81" t="inlineStr">
        <is>
          <t>ยอดลงทุน</t>
        </is>
      </c>
      <c r="B1" s="181" t="n">
        <v>5100000</v>
      </c>
    </row>
    <row r="2">
      <c r="A2" s="39" t="inlineStr">
        <is>
          <t>ยอดเงินกู้</t>
        </is>
      </c>
      <c r="B2" s="182">
        <f>B1*1.2</f>
        <v/>
      </c>
    </row>
    <row r="3">
      <c r="A3" s="39" t="inlineStr">
        <is>
          <t>ดอกเบี้ยคงที่ต่อปี</t>
        </is>
      </c>
      <c r="B3" s="77" t="n">
        <v>0.029</v>
      </c>
    </row>
    <row r="4">
      <c r="A4" s="39" t="inlineStr">
        <is>
          <t>ระยะเวลา (ปี)</t>
        </is>
      </c>
      <c r="B4" s="183" t="n">
        <v>5</v>
      </c>
    </row>
    <row r="5">
      <c r="A5" s="39" t="inlineStr">
        <is>
          <t>จำนวนงวด (เดือน)</t>
        </is>
      </c>
      <c r="B5" s="184">
        <f>B4*12</f>
        <v/>
      </c>
    </row>
    <row r="6">
      <c r="A6" s="39" t="inlineStr">
        <is>
          <t>ดอกเบี้ยรวมทั้งหมด</t>
        </is>
      </c>
      <c r="B6" s="184">
        <f>B2*B3*B4</f>
        <v/>
      </c>
    </row>
    <row r="7">
      <c r="A7" s="39" t="inlineStr">
        <is>
          <t>ยอดหนี้รวม (ต้น+ดอก)</t>
        </is>
      </c>
      <c r="B7" s="184">
        <f>B2+B6</f>
        <v/>
      </c>
    </row>
    <row r="8">
      <c r="A8" s="39" t="inlineStr">
        <is>
          <t>ค่างวดต่อเดือน</t>
        </is>
      </c>
      <c r="B8" s="184">
        <f>B7/B5</f>
        <v/>
      </c>
    </row>
    <row r="9">
      <c r="A9" s="39" t="inlineStr">
        <is>
          <t>ค่างวดต่อปี</t>
        </is>
      </c>
      <c r="B9" s="185">
        <f>B8*12</f>
        <v/>
      </c>
    </row>
    <row r="10">
      <c r="B10" s="1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ColWidth="14.3984375" defaultRowHeight="15" customHeight="1"/>
  <cols>
    <col width="8.73046875" customWidth="1" min="1" max="2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Normal="100" workbookViewId="0">
      <selection activeCell="E3" sqref="E3"/>
    </sheetView>
  </sheetViews>
  <sheetFormatPr baseColWidth="8" defaultColWidth="35.1328125" defaultRowHeight="14.25"/>
  <cols>
    <col width="34.33203125" bestFit="1" customWidth="1" min="1" max="1"/>
    <col width="19.9296875" bestFit="1" customWidth="1" min="3" max="3"/>
    <col width="21.06640625" bestFit="1" customWidth="1" min="4" max="4"/>
    <col width="26.6640625" bestFit="1" customWidth="1" min="5" max="5"/>
  </cols>
  <sheetData>
    <row r="1">
      <c r="A1" s="38" t="inlineStr">
        <is>
          <t>เซกเมนต์</t>
        </is>
      </c>
      <c r="B1" s="38" t="inlineStr">
        <is>
          <t>รุ่นรถ (ตัวอย่าง)</t>
        </is>
      </c>
      <c r="C1" s="38" t="inlineStr">
        <is>
          <t>ขนาดแบตเตอรี่ (kWh)</t>
        </is>
      </c>
      <c r="D1" s="38" t="inlineStr">
        <is>
          <t>เทคโนโลยีแรงดันไฟฟ้า</t>
        </is>
      </c>
      <c r="E1" s="38" t="inlineStr">
        <is>
          <t>Charge Capacity 20 % - 80%</t>
        </is>
      </c>
      <c r="F1" t="n">
        <v>7.5</v>
      </c>
    </row>
    <row r="2" ht="27" customHeight="1">
      <c r="A2" s="38" t="inlineStr">
        <is>
          <t>Budget / City Car</t>
        </is>
      </c>
      <c r="B2" s="39" t="inlineStr">
        <is>
          <t>Neta V II, Wuling Binguo, BYD Dolphin (Standard)</t>
        </is>
      </c>
      <c r="C2" s="39" t="inlineStr">
        <is>
          <t>30 - 45</t>
        </is>
      </c>
      <c r="D2" s="39" t="inlineStr">
        <is>
          <t>400V</t>
        </is>
      </c>
      <c r="E2">
        <f>((80-20)/100)*40</f>
        <v/>
      </c>
    </row>
    <row r="3" ht="27" customHeight="1">
      <c r="A3" s="38" t="inlineStr">
        <is>
          <t>Mainstream SUV/Sedan</t>
        </is>
      </c>
      <c r="B3" s="39" t="inlineStr">
        <is>
          <t>BYD Atto 3, MG4 Electric, ORA Good Cat, Deepal S07</t>
        </is>
      </c>
      <c r="C3" s="39" t="inlineStr">
        <is>
          <t>50 - 70</t>
        </is>
      </c>
      <c r="D3" s="39" t="inlineStr">
        <is>
          <t>400V</t>
        </is>
      </c>
      <c r="E3">
        <f>((80-20)/100)*60</f>
        <v/>
      </c>
    </row>
    <row r="4" ht="27" customHeight="1">
      <c r="A4" s="38" t="inlineStr">
        <is>
          <t>Mass-Premium (800V Early Adopter)</t>
        </is>
      </c>
      <c r="B4" s="39" t="inlineStr">
        <is>
          <t>BYD Sealion 7, XPENG G6, ZEEKR 7X, Hyundai IONIQ 5</t>
        </is>
      </c>
      <c r="C4" s="39" t="inlineStr">
        <is>
          <t>65 - 85</t>
        </is>
      </c>
      <c r="D4" s="39" t="inlineStr">
        <is>
          <t>800V</t>
        </is>
      </c>
      <c r="E4">
        <f>((80-20)/100)*75</f>
        <v/>
      </c>
    </row>
    <row r="5" ht="27" customHeight="1">
      <c r="A5" s="38" t="inlineStr">
        <is>
          <t>High-End / Luxury</t>
        </is>
      </c>
      <c r="B5" s="39" t="inlineStr">
        <is>
          <t>Porsche Taycan, Lotus Eletre, Audi Q6 e-tron, ZEEKR 001</t>
        </is>
      </c>
      <c r="C5" s="39" t="inlineStr">
        <is>
          <t>90 - 110</t>
        </is>
      </c>
      <c r="D5" s="39" t="inlineStr">
        <is>
          <t>800V</t>
        </is>
      </c>
      <c r="E5">
        <f>((80-20)/100)*100</f>
        <v/>
      </c>
    </row>
    <row r="6" ht="27" customHeight="1">
      <c r="A6" s="38" t="inlineStr">
        <is>
          <t>Ultra-Long Range</t>
        </is>
      </c>
      <c r="B6" s="39" t="inlineStr">
        <is>
          <t>Lucid Air, Tesla Model S Plaid, NIO ET7</t>
        </is>
      </c>
      <c r="C6" s="39" t="inlineStr">
        <is>
          <t>100 - 150</t>
        </is>
      </c>
      <c r="D6" s="39" t="inlineStr">
        <is>
          <t>800V / 900V+</t>
        </is>
      </c>
      <c r="E6">
        <f>((80-20)/100)*125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C19" sqref="C19"/>
    </sheetView>
  </sheetViews>
  <sheetFormatPr baseColWidth="8" defaultRowHeight="14.25"/>
  <cols>
    <col width="27.796875" customWidth="1" min="1" max="1"/>
    <col width="28.6640625" bestFit="1" customWidth="1" min="2" max="2"/>
    <col width="28.265625" customWidth="1" style="37" min="3" max="3"/>
    <col width="27.796875" bestFit="1" customWidth="1" style="37" min="4" max="4"/>
    <col width="26.6640625" bestFit="1" customWidth="1" min="5" max="5"/>
    <col width="28.46484375" customWidth="1" style="37" min="6" max="6"/>
  </cols>
  <sheetData>
    <row r="1">
      <c r="A1" s="35" t="inlineStr">
        <is>
          <t>ผู้ให้บริการสถานีชาร์จ</t>
        </is>
      </c>
      <c r="B1" s="35" t="inlineStr">
        <is>
          <t>ประเภทเครื่องชาร์จและกำลังไฟ (kW)</t>
        </is>
      </c>
      <c r="C1" s="36" t="inlineStr">
        <is>
          <t>ค่าบริการช่วง On Peak (บาท/หน่วย)</t>
        </is>
      </c>
      <c r="D1" s="36" t="inlineStr">
        <is>
          <t>ค่าบริการช่วง Off Peak (บาท/หน่วย)</t>
        </is>
      </c>
      <c r="E1" s="35" t="inlineStr">
        <is>
          <t>แอปพลิเคชัน/วิธีการใช้งาน</t>
        </is>
      </c>
      <c r="F1" s="36" t="inlineStr">
        <is>
          <t>โปรโมชั่นหรือเงื่อนไขเพิ่มเติม</t>
        </is>
      </c>
    </row>
    <row r="2" ht="39" customHeight="1">
      <c r="A2" s="35" t="inlineStr">
        <is>
          <t>MG Super Charge</t>
        </is>
      </c>
      <c r="B2" s="35" t="inlineStr">
        <is>
          <t>DC ทุกสถานี</t>
        </is>
      </c>
      <c r="C2" s="36" t="n">
        <v>5</v>
      </c>
      <c r="D2" s="36" t="n">
        <v>5</v>
      </c>
      <c r="E2" s="35" t="inlineStr">
        <is>
          <t>ไม่ระบุในแหล่งข้อมูล</t>
        </is>
      </c>
      <c r="F2" s="36" t="inlineStr">
        <is>
          <t>โปรโมชั่นส่งท้ายปี ลดเหลือ 5 บาท ทุกสถานี (13 ธ.ค. 2568 – 5 ม.ค. 2569)</t>
        </is>
      </c>
    </row>
    <row r="3" ht="26.25" customHeight="1">
      <c r="A3" s="35" t="inlineStr">
        <is>
          <t>OneCharge (ตลาดอัศวรรณ)</t>
        </is>
      </c>
      <c r="B3" s="35" t="inlineStr">
        <is>
          <t>Huawei DC Fast Charge 240 kW</t>
        </is>
      </c>
      <c r="C3" s="36" t="n">
        <v>5.9</v>
      </c>
      <c r="D3" s="36" t="n">
        <v>5.9</v>
      </c>
      <c r="E3" s="35" t="inlineStr">
        <is>
          <t>แอป OneCharge App</t>
        </is>
      </c>
      <c r="F3" s="36" t="inlineStr">
        <is>
          <t>ราคาพิเศษช่วง Soft Opening รองรับ AutoCharge และ RFID</t>
        </is>
      </c>
    </row>
    <row r="4">
      <c r="A4" s="35" t="inlineStr">
        <is>
          <t>Mobilix</t>
        </is>
      </c>
      <c r="B4" s="35" t="inlineStr">
        <is>
          <t>Super-Fast Charger 360 kW</t>
        </is>
      </c>
      <c r="C4" s="36" t="n">
        <v>5.99</v>
      </c>
      <c r="D4" s="36" t="n">
        <v>5.99</v>
      </c>
      <c r="E4" s="35" t="inlineStr">
        <is>
          <t>ไม่ระบุในแหล่งข้อมูล</t>
        </is>
      </c>
      <c r="F4" s="36" t="inlineStr">
        <is>
          <t>โปรโมชั่นฉลองเปิดสถานีใหม่</t>
        </is>
      </c>
    </row>
    <row r="5" ht="26.25" customHeight="1">
      <c r="A5" s="35" t="inlineStr">
        <is>
          <t>GINKA Charge Point</t>
        </is>
      </c>
      <c r="B5" s="35" t="inlineStr">
        <is>
          <t>AC 7 kW / DC 40 kW</t>
        </is>
      </c>
      <c r="C5" s="36" t="inlineStr">
        <is>
          <t>6.5 + ค่าระบบ 1</t>
        </is>
      </c>
      <c r="D5" s="36" t="inlineStr">
        <is>
          <t>6.5 + ค่าระบบ 1</t>
        </is>
      </c>
      <c r="E5" s="35" t="inlineStr">
        <is>
          <t>ไม่ต้องใช้แอป (สแกน QR จ่ายเงิน)</t>
        </is>
      </c>
      <c r="F5" s="36" t="inlineStr">
        <is>
          <t>มีค่าบริการระบบรับชำระเงิน 1 บาทต่อหน่วย</t>
        </is>
      </c>
    </row>
    <row r="6">
      <c r="A6" s="35" t="inlineStr">
        <is>
          <t>Charge24 by iGreen+</t>
        </is>
      </c>
      <c r="B6" s="35" t="inlineStr">
        <is>
          <t>ไม่ระบุในแหล่งข้อมูล</t>
        </is>
      </c>
      <c r="C6" s="36" t="n">
        <v>6.6</v>
      </c>
      <c r="D6" s="36" t="n">
        <v>5.5</v>
      </c>
      <c r="E6" s="35" t="inlineStr">
        <is>
          <t>แอป iGreen+</t>
        </is>
      </c>
      <c r="F6" s="36" t="inlineStr">
        <is>
          <t>ให้บริการที่ปั๊ม Caltex 5 สาขา</t>
        </is>
      </c>
    </row>
    <row r="7" ht="51.75" customHeight="1">
      <c r="A7" s="35" t="inlineStr">
        <is>
          <t>EV Station PluZ</t>
        </is>
      </c>
      <c r="B7" s="35" t="inlineStr">
        <is>
          <t>DC 40 - 200 kW และ Ultra Fast Charge 240 - 480 kW</t>
        </is>
      </c>
      <c r="C7" s="36" t="inlineStr">
        <is>
          <t>7.9 - 9.4</t>
        </is>
      </c>
      <c r="D7" s="36" t="inlineStr">
        <is>
          <t>6.6 - 8.1</t>
        </is>
      </c>
      <c r="E7" s="35" t="inlineStr">
        <is>
          <t>แอป EV Station PluZ</t>
        </is>
      </c>
      <c r="F7" s="36" t="inlineStr">
        <is>
          <t>โปรโมชั่น DC 180-200 kW (18 ธ.ค. 68 - 5 ม.ค. 69) ลดเหลือ On 7.9 / Off 6.6 (ปกติ 8.2/6.9) ส่วนรุ่นอื่นๆ ราคาตามพื้นที่</t>
        </is>
      </c>
    </row>
    <row r="8" ht="26.25" customHeight="1">
      <c r="A8" s="35" t="inlineStr">
        <is>
          <t>PEA VOLTA</t>
        </is>
      </c>
      <c r="B8" s="35" t="inlineStr">
        <is>
          <t>DC 300 - 360 kW</t>
        </is>
      </c>
      <c r="C8" s="36" t="inlineStr">
        <is>
          <t>7.90 (โปรโมชั่น)</t>
        </is>
      </c>
      <c r="D8" s="36" t="inlineStr">
        <is>
          <t>6.90 (โปรโมชั่น)</t>
        </is>
      </c>
      <c r="E8" s="35" t="inlineStr">
        <is>
          <t>แอป PEA VOLTA</t>
        </is>
      </c>
      <c r="F8" s="36" t="inlineStr">
        <is>
          <t>โปรโมชั่นลดราคาถึง ธ.ค. 2568 (ราคาปกติ On 9.7 / Off 7.2)</t>
        </is>
      </c>
    </row>
    <row r="9">
      <c r="A9" s="35" t="inlineStr">
        <is>
          <t>EA ANYWHERE</t>
        </is>
      </c>
      <c r="B9" s="35" t="inlineStr">
        <is>
          <t>DC Charger</t>
        </is>
      </c>
      <c r="C9" s="36" t="inlineStr">
        <is>
          <t>เริ่มต้น 7.07</t>
        </is>
      </c>
      <c r="D9" s="36" t="inlineStr">
        <is>
          <t>เริ่มต้น 7.07</t>
        </is>
      </c>
      <c r="E9" s="35" t="inlineStr">
        <is>
          <t>แอป EA Anywhere</t>
        </is>
      </c>
      <c r="F9" s="36" t="inlineStr">
        <is>
          <t>ราคาขึ้นอยู่กับแต่ละสถานี</t>
        </is>
      </c>
    </row>
    <row r="10" ht="26.25" customHeight="1">
      <c r="A10" s="35" t="inlineStr">
        <is>
          <t>ReverSharger</t>
        </is>
      </c>
      <c r="B10" s="35" t="inlineStr">
        <is>
          <t>ไม่ระบุในแหล่งข้อมูล</t>
        </is>
      </c>
      <c r="C10" s="36" t="inlineStr">
        <is>
          <t>7.2 (Silver Tier)</t>
        </is>
      </c>
      <c r="D10" s="36" t="inlineStr">
        <is>
          <t>7.2 (Silver Tier)</t>
        </is>
      </c>
      <c r="E10" s="35" t="inlineStr">
        <is>
          <t>แอป ReverSharger</t>
        </is>
      </c>
      <c r="F10" s="36" t="inlineStr">
        <is>
          <t>ระบบ Tier System: Gold 6.4 / Platinum 5.8 บาท ตามยอดสะสม</t>
        </is>
      </c>
    </row>
    <row r="11">
      <c r="A11" s="35" t="inlineStr">
        <is>
          <t>EleX By EGAT</t>
        </is>
      </c>
      <c r="B11" s="35" t="inlineStr">
        <is>
          <t>DC 60 kW / 150 kW</t>
        </is>
      </c>
      <c r="C11" s="36" t="n">
        <v>7.5</v>
      </c>
      <c r="D11" s="36" t="n">
        <v>7.5</v>
      </c>
      <c r="E11" s="35" t="inlineStr">
        <is>
          <t>แอป EleX By EGAT</t>
        </is>
      </c>
      <c r="F11" s="36" t="inlineStr">
        <is>
          <t>ไม่ระบุในแหล่งข้อมูล</t>
        </is>
      </c>
    </row>
    <row r="12" ht="26.25" customHeight="1">
      <c r="A12" s="35" t="inlineStr">
        <is>
          <t>MEA EV</t>
        </is>
      </c>
      <c r="B12" s="35" t="inlineStr">
        <is>
          <t>AC และ DC</t>
        </is>
      </c>
      <c r="C12" s="36" t="n">
        <v>7.5</v>
      </c>
      <c r="D12" s="36" t="n">
        <v>7.5</v>
      </c>
      <c r="E12" s="35" t="inlineStr">
        <is>
          <t>แอป MEA EV</t>
        </is>
      </c>
      <c r="F12" s="36" t="inlineStr">
        <is>
          <t>เปิดให้บริการ 24 ชม. ในกรุงเทพฯ และปริมณฑล</t>
        </is>
      </c>
    </row>
    <row r="13">
      <c r="A13" s="35" t="inlineStr">
        <is>
          <t>Altervim</t>
        </is>
      </c>
      <c r="B13" s="35" t="inlineStr">
        <is>
          <t>DC 150 kW</t>
        </is>
      </c>
      <c r="C13" s="36" t="n">
        <v>7.5</v>
      </c>
      <c r="D13" s="36" t="n">
        <v>7.5</v>
      </c>
      <c r="E13" s="35" t="inlineStr">
        <is>
          <t>แอป Altervim</t>
        </is>
      </c>
      <c r="F13" s="36" t="inlineStr">
        <is>
          <t>ติดตั้งที่ Lotus's และ 7-Eleven</t>
        </is>
      </c>
    </row>
    <row r="14" ht="26.25" customHeight="1">
      <c r="A14" s="35" t="inlineStr">
        <is>
          <t>ZEEKR Power</t>
        </is>
      </c>
      <c r="B14" s="35" t="inlineStr">
        <is>
          <t>DC 400 kW / AC 22 kW</t>
        </is>
      </c>
      <c r="C14" s="36" t="inlineStr">
        <is>
          <t>0 (ฟรี)</t>
        </is>
      </c>
      <c r="D14" s="36" t="inlineStr">
        <is>
          <t>0 (ฟรี)</t>
        </is>
      </c>
      <c r="E14" s="35" t="inlineStr">
        <is>
          <t>แอป EVOLT</t>
        </is>
      </c>
      <c r="F14" s="36" t="inlineStr">
        <is>
          <t>ฟรีสำหรับผู้ใช้รถ ZEEKR ถึง 31 ธ.ค. 2568 ณ Central World</t>
        </is>
      </c>
    </row>
    <row r="15">
      <c r="A15" s="35" t="inlineStr">
        <is>
          <t>TESLA SUPER CHARGE</t>
        </is>
      </c>
      <c r="B15" s="35" t="inlineStr">
        <is>
          <t>DC สูงสุด 250 kW</t>
        </is>
      </c>
      <c r="C15" s="36" t="inlineStr">
        <is>
          <t>7.17 บาท/นาที</t>
        </is>
      </c>
      <c r="D15" s="36" t="inlineStr">
        <is>
          <t>7.17 บาท/นาที</t>
        </is>
      </c>
      <c r="E15" s="35" t="inlineStr">
        <is>
          <t>ระบบของ Tesla</t>
        </is>
      </c>
      <c r="F15" s="36" t="inlineStr">
        <is>
          <t>คิดค่าบริการเป็นนาที</t>
        </is>
      </c>
    </row>
    <row r="16">
      <c r="A16" s="35" t="n"/>
      <c r="B16" s="35" t="n"/>
      <c r="C16" s="36" t="n"/>
      <c r="D16" s="36" t="n"/>
      <c r="E16" s="35" t="n"/>
      <c r="F16" s="36" t="n"/>
    </row>
    <row r="17">
      <c r="A17" s="35" t="n"/>
      <c r="B17" s="35" t="n"/>
      <c r="C17" s="36" t="n"/>
      <c r="D17" s="36" t="n"/>
      <c r="E17" s="35" t="n"/>
      <c r="F17" s="36" t="n"/>
    </row>
    <row r="18">
      <c r="A18" s="35" t="n"/>
      <c r="B18" s="35" t="n"/>
      <c r="C18" s="36" t="n"/>
      <c r="D18" s="36" t="n"/>
      <c r="E18" s="35" t="n"/>
      <c r="F18" s="36" t="n"/>
    </row>
    <row r="19">
      <c r="A19" s="35" t="n"/>
      <c r="B19" s="35" t="n"/>
      <c r="C19" s="36" t="n"/>
      <c r="D19" s="36" t="n"/>
      <c r="E19" s="35" t="n"/>
      <c r="F19" s="36" t="n"/>
    </row>
    <row r="20">
      <c r="A20" s="35" t="n"/>
      <c r="B20" s="35" t="n"/>
      <c r="C20" s="36" t="n"/>
      <c r="D20" s="36" t="n"/>
      <c r="E20" s="35" t="n"/>
      <c r="F20" s="36" t="n"/>
    </row>
    <row r="21">
      <c r="A21" s="35" t="n"/>
      <c r="B21" s="35" t="n"/>
      <c r="C21" s="36" t="n"/>
      <c r="D21" s="36" t="n"/>
      <c r="E21" s="35" t="n"/>
      <c r="F21" s="36" t="n"/>
    </row>
    <row r="22">
      <c r="A22" s="35" t="n"/>
      <c r="B22" s="35" t="n"/>
      <c r="C22" s="36" t="n"/>
      <c r="D22" s="36" t="n"/>
      <c r="E22" s="35" t="n"/>
      <c r="F22" s="36" t="n"/>
    </row>
    <row r="23">
      <c r="A23" s="35" t="n"/>
      <c r="B23" s="35" t="n"/>
      <c r="C23" s="36" t="n"/>
      <c r="D23" s="36" t="n"/>
      <c r="E23" s="35" t="n"/>
      <c r="F23" s="36" t="n"/>
    </row>
    <row r="24">
      <c r="A24" s="35" t="n"/>
      <c r="B24" s="35" t="n"/>
      <c r="C24" s="36" t="n"/>
      <c r="D24" s="36" t="n"/>
      <c r="E24" s="35" t="n"/>
      <c r="F24" s="36" t="n"/>
    </row>
    <row r="25">
      <c r="A25" s="35" t="n"/>
      <c r="B25" s="35" t="n"/>
      <c r="C25" s="36" t="n"/>
      <c r="D25" s="36" t="n"/>
      <c r="E25" s="35" t="n"/>
      <c r="F25" s="36" t="n"/>
    </row>
    <row r="26">
      <c r="A26" s="35" t="n"/>
      <c r="B26" s="35" t="n"/>
      <c r="C26" s="36" t="n"/>
      <c r="D26" s="36" t="n"/>
      <c r="E26" s="35" t="n"/>
      <c r="F26" s="36" t="n"/>
    </row>
    <row r="27">
      <c r="A27" s="35" t="n"/>
      <c r="B27" s="35" t="n"/>
      <c r="C27" s="36" t="n"/>
      <c r="D27" s="36" t="n"/>
      <c r="E27" s="35" t="n"/>
      <c r="F27" s="36" t="n"/>
    </row>
    <row r="28">
      <c r="A28" s="35" t="n"/>
      <c r="B28" s="35" t="n"/>
      <c r="C28" s="36" t="n"/>
      <c r="D28" s="36" t="n"/>
      <c r="E28" s="35" t="n"/>
      <c r="F28" s="36" t="n"/>
    </row>
    <row r="29">
      <c r="A29" s="35" t="n"/>
      <c r="B29" s="35" t="n"/>
      <c r="C29" s="36" t="n"/>
      <c r="D29" s="36" t="n"/>
      <c r="E29" s="35" t="n"/>
      <c r="F29" s="36" t="n"/>
    </row>
    <row r="30">
      <c r="A30" s="35" t="n"/>
      <c r="B30" s="35" t="n"/>
      <c r="C30" s="36" t="n"/>
      <c r="D30" s="36" t="n"/>
      <c r="E30" s="35" t="n"/>
      <c r="F30" s="36" t="n"/>
    </row>
    <row r="31">
      <c r="A31" s="35" t="n"/>
      <c r="B31" s="35" t="n"/>
      <c r="C31" s="36" t="n"/>
      <c r="D31" s="36" t="n"/>
      <c r="E31" s="35" t="n"/>
      <c r="F31" s="36" t="n"/>
    </row>
    <row r="32">
      <c r="A32" s="35" t="n"/>
      <c r="B32" s="35" t="n"/>
      <c r="C32" s="36" t="n"/>
      <c r="D32" s="36" t="n"/>
      <c r="E32" s="35" t="n"/>
      <c r="F32" s="36" t="n"/>
    </row>
    <row r="33">
      <c r="A33" s="35" t="n"/>
      <c r="B33" s="35" t="n"/>
      <c r="C33" s="36" t="n"/>
      <c r="D33" s="36" t="n"/>
      <c r="E33" s="35" t="n"/>
      <c r="F33" s="36" t="n"/>
    </row>
    <row r="34">
      <c r="A34" s="35" t="n"/>
      <c r="B34" s="35" t="n"/>
      <c r="C34" s="36" t="n"/>
      <c r="D34" s="36" t="n"/>
      <c r="E34" s="35" t="n"/>
      <c r="F34" s="36" t="n"/>
    </row>
    <row r="35">
      <c r="A35" s="35" t="n"/>
      <c r="B35" s="35" t="n"/>
      <c r="C35" s="36" t="n"/>
      <c r="D35" s="36" t="n"/>
      <c r="E35" s="35" t="n"/>
      <c r="F35" s="36" t="n"/>
    </row>
    <row r="36">
      <c r="A36" s="35" t="n"/>
      <c r="B36" s="35" t="n"/>
      <c r="C36" s="36" t="n"/>
      <c r="D36" s="36" t="n"/>
      <c r="E36" s="35" t="n"/>
      <c r="F36" s="36" t="n"/>
    </row>
    <row r="37">
      <c r="A37" s="35" t="n"/>
      <c r="B37" s="35" t="n"/>
      <c r="C37" s="36" t="n"/>
      <c r="D37" s="36" t="n"/>
      <c r="E37" s="35" t="n"/>
      <c r="F37" s="36" t="n"/>
    </row>
    <row r="38">
      <c r="A38" s="35" t="n"/>
      <c r="B38" s="35" t="n"/>
      <c r="C38" s="36" t="n"/>
      <c r="D38" s="36" t="n"/>
      <c r="E38" s="35" t="n"/>
      <c r="F38" s="36" t="n"/>
    </row>
    <row r="39">
      <c r="A39" s="35" t="n"/>
      <c r="B39" s="35" t="n"/>
      <c r="C39" s="36" t="n"/>
      <c r="D39" s="36" t="n"/>
      <c r="E39" s="35" t="n"/>
      <c r="F39" s="36" t="n"/>
    </row>
    <row r="40">
      <c r="A40" s="35" t="n"/>
      <c r="B40" s="35" t="n"/>
      <c r="C40" s="36" t="n"/>
      <c r="D40" s="36" t="n"/>
      <c r="E40" s="35" t="n"/>
      <c r="F40" s="36" t="n"/>
    </row>
    <row r="41">
      <c r="A41" s="35" t="n"/>
      <c r="B41" s="35" t="n"/>
      <c r="C41" s="36" t="n"/>
      <c r="D41" s="36" t="n"/>
      <c r="E41" s="35" t="n"/>
      <c r="F41" s="36" t="n"/>
    </row>
    <row r="42">
      <c r="A42" s="35" t="n"/>
      <c r="B42" s="35" t="n"/>
      <c r="C42" s="36" t="n"/>
      <c r="D42" s="36" t="n"/>
      <c r="E42" s="35" t="n"/>
      <c r="F42" s="36" t="n"/>
    </row>
    <row r="43">
      <c r="A43" s="35" t="n"/>
      <c r="B43" s="35" t="n"/>
      <c r="C43" s="36" t="n"/>
      <c r="D43" s="36" t="n"/>
      <c r="E43" s="35" t="n"/>
      <c r="F43" s="36" t="n"/>
    </row>
    <row r="44">
      <c r="A44" s="35" t="n"/>
      <c r="B44" s="35" t="n"/>
      <c r="C44" s="36" t="n"/>
      <c r="D44" s="36" t="n"/>
      <c r="E44" s="35" t="n"/>
      <c r="F44" s="36" t="n"/>
    </row>
    <row r="45">
      <c r="A45" s="35" t="n"/>
      <c r="B45" s="35" t="n"/>
      <c r="C45" s="36" t="n"/>
      <c r="D45" s="36" t="n"/>
      <c r="E45" s="35" t="n"/>
      <c r="F45" s="36" t="n"/>
    </row>
    <row r="46">
      <c r="A46" s="35" t="n"/>
      <c r="B46" s="35" t="n"/>
      <c r="C46" s="36" t="n"/>
      <c r="D46" s="36" t="n"/>
      <c r="E46" s="35" t="n"/>
      <c r="F46" s="36" t="n"/>
    </row>
    <row r="47">
      <c r="A47" s="35" t="n"/>
      <c r="B47" s="35" t="n"/>
      <c r="C47" s="36" t="n"/>
      <c r="D47" s="36" t="n"/>
      <c r="E47" s="35" t="n"/>
      <c r="F47" s="36" t="n"/>
    </row>
    <row r="48">
      <c r="A48" s="35" t="n"/>
      <c r="B48" s="35" t="n"/>
      <c r="C48" s="36" t="n"/>
      <c r="D48" s="36" t="n"/>
      <c r="E48" s="35" t="n"/>
      <c r="F48" s="36" t="n"/>
    </row>
    <row r="49">
      <c r="A49" s="35" t="n"/>
      <c r="B49" s="35" t="n"/>
      <c r="C49" s="36" t="n"/>
      <c r="D49" s="36" t="n"/>
      <c r="E49" s="35" t="n"/>
      <c r="F49" s="36" t="n"/>
    </row>
    <row r="50">
      <c r="A50" s="35" t="n"/>
      <c r="B50" s="35" t="n"/>
      <c r="C50" s="36" t="n"/>
      <c r="D50" s="36" t="n"/>
      <c r="E50" s="35" t="n"/>
      <c r="F50" s="36" t="n"/>
    </row>
    <row r="51">
      <c r="A51" s="35" t="n"/>
      <c r="B51" s="35" t="n"/>
      <c r="C51" s="36" t="n"/>
      <c r="D51" s="36" t="n"/>
      <c r="E51" s="35" t="n"/>
      <c r="F51" s="36" t="n"/>
    </row>
    <row r="52">
      <c r="A52" s="35" t="n"/>
      <c r="B52" s="35" t="n"/>
      <c r="C52" s="36" t="n"/>
      <c r="D52" s="36" t="n"/>
      <c r="E52" s="35" t="n"/>
      <c r="F52" s="36" t="n"/>
    </row>
    <row r="53">
      <c r="A53" s="35" t="n"/>
      <c r="B53" s="35" t="n"/>
      <c r="C53" s="36" t="n"/>
      <c r="D53" s="36" t="n"/>
      <c r="E53" s="35" t="n"/>
      <c r="F53" s="36" t="n"/>
    </row>
    <row r="54">
      <c r="A54" s="35" t="n"/>
      <c r="B54" s="35" t="n"/>
      <c r="C54" s="36" t="n"/>
      <c r="D54" s="36" t="n"/>
      <c r="E54" s="35" t="n"/>
      <c r="F54" s="36" t="n"/>
    </row>
    <row r="55">
      <c r="A55" s="35" t="n"/>
      <c r="B55" s="35" t="n"/>
      <c r="C55" s="36" t="n"/>
      <c r="D55" s="36" t="n"/>
      <c r="E55" s="35" t="n"/>
      <c r="F55" s="36" t="n"/>
    </row>
    <row r="56">
      <c r="A56" s="35" t="n"/>
      <c r="B56" s="35" t="n"/>
      <c r="C56" s="36" t="n"/>
      <c r="D56" s="36" t="n"/>
      <c r="E56" s="35" t="n"/>
      <c r="F56" s="36" t="n"/>
    </row>
    <row r="57">
      <c r="A57" s="35" t="n"/>
      <c r="B57" s="35" t="n"/>
      <c r="C57" s="36" t="n"/>
      <c r="D57" s="36" t="n"/>
      <c r="E57" s="35" t="n"/>
      <c r="F57" s="36" t="n"/>
    </row>
    <row r="58">
      <c r="A58" s="35" t="n"/>
      <c r="B58" s="35" t="n"/>
      <c r="C58" s="36" t="n"/>
      <c r="D58" s="36" t="n"/>
      <c r="E58" s="35" t="n"/>
      <c r="F58" s="36" t="n"/>
    </row>
    <row r="59">
      <c r="A59" s="35" t="n"/>
      <c r="B59" s="35" t="n"/>
      <c r="C59" s="36" t="n"/>
      <c r="D59" s="36" t="n"/>
      <c r="E59" s="35" t="n"/>
      <c r="F59" s="36" t="n"/>
    </row>
    <row r="60">
      <c r="A60" s="35" t="n"/>
      <c r="B60" s="35" t="n"/>
      <c r="C60" s="36" t="n"/>
      <c r="D60" s="36" t="n"/>
      <c r="E60" s="35" t="n"/>
      <c r="F60" s="36" t="n"/>
    </row>
    <row r="61">
      <c r="A61" s="35" t="n"/>
      <c r="B61" s="35" t="n"/>
      <c r="C61" s="36" t="n"/>
      <c r="D61" s="36" t="n"/>
      <c r="E61" s="35" t="n"/>
      <c r="F61" s="36" t="n"/>
    </row>
    <row r="62">
      <c r="A62" s="35" t="n"/>
      <c r="B62" s="35" t="n"/>
      <c r="C62" s="36" t="n"/>
      <c r="D62" s="36" t="n"/>
      <c r="E62" s="35" t="n"/>
      <c r="F62" s="36" t="n"/>
    </row>
    <row r="63">
      <c r="A63" s="35" t="n"/>
      <c r="B63" s="35" t="n"/>
      <c r="C63" s="36" t="n"/>
      <c r="D63" s="36" t="n"/>
      <c r="E63" s="35" t="n"/>
      <c r="F63" s="36" t="n"/>
    </row>
    <row r="64">
      <c r="A64" s="35" t="n"/>
      <c r="B64" s="35" t="n"/>
      <c r="C64" s="36" t="n"/>
      <c r="D64" s="36" t="n"/>
      <c r="E64" s="35" t="n"/>
      <c r="F64" s="36" t="n"/>
    </row>
    <row r="65">
      <c r="A65" s="35" t="n"/>
      <c r="B65" s="35" t="n"/>
      <c r="C65" s="36" t="n"/>
      <c r="D65" s="36" t="n"/>
      <c r="E65" s="35" t="n"/>
      <c r="F65" s="36" t="n"/>
    </row>
    <row r="66">
      <c r="A66" s="35" t="n"/>
      <c r="B66" s="35" t="n"/>
      <c r="C66" s="36" t="n"/>
      <c r="D66" s="36" t="n"/>
      <c r="E66" s="35" t="n"/>
      <c r="F66" s="36" t="n"/>
    </row>
    <row r="67">
      <c r="A67" s="35" t="n"/>
      <c r="B67" s="35" t="n"/>
      <c r="C67" s="36" t="n"/>
      <c r="D67" s="36" t="n"/>
      <c r="E67" s="35" t="n"/>
      <c r="F67" s="36" t="n"/>
    </row>
    <row r="68">
      <c r="A68" s="35" t="n"/>
      <c r="B68" s="35" t="n"/>
      <c r="C68" s="36" t="n"/>
      <c r="D68" s="36" t="n"/>
      <c r="E68" s="35" t="n"/>
      <c r="F68" s="36" t="n"/>
    </row>
    <row r="69">
      <c r="A69" s="35" t="n"/>
      <c r="B69" s="35" t="n"/>
      <c r="C69" s="36" t="n"/>
      <c r="D69" s="36" t="n"/>
      <c r="E69" s="35" t="n"/>
      <c r="F69" s="36" t="n"/>
    </row>
    <row r="70">
      <c r="A70" s="35" t="n"/>
      <c r="B70" s="35" t="n"/>
      <c r="C70" s="36" t="n"/>
      <c r="D70" s="36" t="n"/>
      <c r="E70" s="35" t="n"/>
      <c r="F70" s="36" t="n"/>
    </row>
    <row r="71">
      <c r="A71" s="35" t="n"/>
      <c r="B71" s="35" t="n"/>
      <c r="C71" s="36" t="n"/>
      <c r="D71" s="36" t="n"/>
      <c r="E71" s="35" t="n"/>
      <c r="F71" s="36" t="n"/>
    </row>
    <row r="72">
      <c r="A72" s="35" t="n"/>
      <c r="B72" s="35" t="n"/>
      <c r="C72" s="36" t="n"/>
      <c r="D72" s="36" t="n"/>
      <c r="E72" s="35" t="n"/>
      <c r="F72" s="36" t="n"/>
    </row>
    <row r="73">
      <c r="A73" s="35" t="n"/>
      <c r="B73" s="35" t="n"/>
      <c r="C73" s="36" t="n"/>
      <c r="D73" s="36" t="n"/>
      <c r="E73" s="35" t="n"/>
      <c r="F73" s="36" t="n"/>
    </row>
    <row r="74">
      <c r="A74" s="35" t="n"/>
      <c r="B74" s="35" t="n"/>
      <c r="C74" s="36" t="n"/>
      <c r="D74" s="36" t="n"/>
      <c r="E74" s="35" t="n"/>
      <c r="F74" s="36" t="n"/>
    </row>
    <row r="75">
      <c r="A75" s="35" t="n"/>
      <c r="B75" s="35" t="n"/>
      <c r="C75" s="36" t="n"/>
      <c r="D75" s="36" t="n"/>
      <c r="E75" s="35" t="n"/>
      <c r="F75" s="36" t="n"/>
    </row>
    <row r="76">
      <c r="A76" s="35" t="n"/>
      <c r="B76" s="35" t="n"/>
      <c r="C76" s="36" t="n"/>
      <c r="D76" s="36" t="n"/>
      <c r="E76" s="35" t="n"/>
      <c r="F76" s="36" t="n"/>
    </row>
    <row r="77">
      <c r="A77" s="35" t="n"/>
      <c r="B77" s="35" t="n"/>
      <c r="C77" s="36" t="n"/>
      <c r="D77" s="36" t="n"/>
      <c r="E77" s="35" t="n"/>
      <c r="F77" s="36" t="n"/>
    </row>
    <row r="78">
      <c r="A78" s="35" t="n"/>
      <c r="B78" s="35" t="n"/>
      <c r="C78" s="36" t="n"/>
      <c r="D78" s="36" t="n"/>
      <c r="E78" s="35" t="n"/>
      <c r="F78" s="36" t="n"/>
    </row>
    <row r="79">
      <c r="A79" s="35" t="n"/>
      <c r="B79" s="35" t="n"/>
      <c r="C79" s="36" t="n"/>
      <c r="D79" s="36" t="n"/>
      <c r="E79" s="35" t="n"/>
      <c r="F79" s="36" t="n"/>
    </row>
    <row r="80">
      <c r="A80" s="35" t="n"/>
      <c r="B80" s="35" t="n"/>
      <c r="C80" s="36" t="n"/>
      <c r="D80" s="36" t="n"/>
      <c r="E80" s="35" t="n"/>
      <c r="F80" s="36" t="n"/>
    </row>
    <row r="81">
      <c r="A81" s="35" t="n"/>
      <c r="B81" s="35" t="n"/>
      <c r="C81" s="36" t="n"/>
      <c r="D81" s="36" t="n"/>
      <c r="E81" s="35" t="n"/>
      <c r="F81" s="36" t="n"/>
    </row>
    <row r="82">
      <c r="A82" s="35" t="n"/>
      <c r="B82" s="35" t="n"/>
      <c r="C82" s="36" t="n"/>
      <c r="D82" s="36" t="n"/>
      <c r="E82" s="35" t="n"/>
      <c r="F82" s="36" t="n"/>
    </row>
    <row r="83">
      <c r="A83" s="35" t="n"/>
      <c r="B83" s="35" t="n"/>
      <c r="C83" s="36" t="n"/>
      <c r="D83" s="36" t="n"/>
      <c r="E83" s="35" t="n"/>
      <c r="F83" s="36" t="n"/>
    </row>
    <row r="84">
      <c r="A84" s="35" t="n"/>
      <c r="B84" s="35" t="n"/>
      <c r="C84" s="36" t="n"/>
      <c r="D84" s="36" t="n"/>
      <c r="E84" s="35" t="n"/>
      <c r="F84" s="36" t="n"/>
    </row>
    <row r="85">
      <c r="A85" s="35" t="n"/>
      <c r="B85" s="35" t="n"/>
      <c r="C85" s="36" t="n"/>
      <c r="D85" s="36" t="n"/>
      <c r="E85" s="35" t="n"/>
      <c r="F85" s="36" t="n"/>
    </row>
    <row r="86">
      <c r="A86" s="35" t="n"/>
      <c r="B86" s="35" t="n"/>
      <c r="C86" s="36" t="n"/>
      <c r="D86" s="36" t="n"/>
      <c r="E86" s="35" t="n"/>
      <c r="F86" s="36" t="n"/>
    </row>
    <row r="87">
      <c r="A87" s="35" t="n"/>
      <c r="B87" s="35" t="n"/>
      <c r="C87" s="36" t="n"/>
      <c r="D87" s="36" t="n"/>
      <c r="E87" s="35" t="n"/>
      <c r="F87" s="36" t="n"/>
    </row>
    <row r="88">
      <c r="A88" s="35" t="n"/>
      <c r="B88" s="35" t="n"/>
      <c r="C88" s="36" t="n"/>
      <c r="D88" s="36" t="n"/>
      <c r="E88" s="35" t="n"/>
      <c r="F88" s="36" t="n"/>
    </row>
    <row r="89">
      <c r="A89" s="35" t="n"/>
      <c r="B89" s="35" t="n"/>
      <c r="C89" s="36" t="n"/>
      <c r="D89" s="36" t="n"/>
      <c r="E89" s="35" t="n"/>
      <c r="F89" s="36" t="n"/>
    </row>
    <row r="90">
      <c r="A90" s="35" t="n"/>
      <c r="B90" s="35" t="n"/>
      <c r="C90" s="36" t="n"/>
      <c r="D90" s="36" t="n"/>
      <c r="E90" s="35" t="n"/>
      <c r="F90" s="36" t="n"/>
    </row>
    <row r="91">
      <c r="A91" s="35" t="n"/>
      <c r="B91" s="35" t="n"/>
      <c r="C91" s="36" t="n"/>
      <c r="D91" s="36" t="n"/>
      <c r="E91" s="35" t="n"/>
      <c r="F91" s="36" t="n"/>
    </row>
    <row r="92">
      <c r="A92" s="35" t="n"/>
      <c r="B92" s="35" t="n"/>
      <c r="C92" s="36" t="n"/>
      <c r="D92" s="36" t="n"/>
      <c r="E92" s="35" t="n"/>
      <c r="F92" s="36" t="n"/>
    </row>
    <row r="93">
      <c r="A93" s="35" t="n"/>
      <c r="B93" s="35" t="n"/>
      <c r="C93" s="36" t="n"/>
      <c r="D93" s="36" t="n"/>
      <c r="E93" s="35" t="n"/>
      <c r="F93" s="36" t="n"/>
    </row>
    <row r="94">
      <c r="A94" s="35" t="n"/>
      <c r="B94" s="35" t="n"/>
      <c r="C94" s="36" t="n"/>
      <c r="D94" s="36" t="n"/>
      <c r="E94" s="35" t="n"/>
      <c r="F94" s="36" t="n"/>
    </row>
    <row r="95">
      <c r="A95" s="35" t="n"/>
      <c r="B95" s="35" t="n"/>
      <c r="C95" s="36" t="n"/>
      <c r="D95" s="36" t="n"/>
      <c r="E95" s="35" t="n"/>
      <c r="F95" s="36" t="n"/>
    </row>
    <row r="96">
      <c r="A96" s="35" t="n"/>
      <c r="B96" s="35" t="n"/>
      <c r="C96" s="36" t="n"/>
      <c r="D96" s="36" t="n"/>
      <c r="E96" s="35" t="n"/>
      <c r="F96" s="36" t="n"/>
    </row>
    <row r="97">
      <c r="A97" s="35" t="n"/>
      <c r="B97" s="35" t="n"/>
      <c r="C97" s="36" t="n"/>
      <c r="D97" s="36" t="n"/>
      <c r="E97" s="35" t="n"/>
      <c r="F97" s="36" t="n"/>
    </row>
    <row r="98">
      <c r="A98" s="35" t="n"/>
      <c r="B98" s="35" t="n"/>
      <c r="C98" s="36" t="n"/>
      <c r="D98" s="36" t="n"/>
      <c r="E98" s="35" t="n"/>
      <c r="F98" s="36" t="n"/>
    </row>
    <row r="99">
      <c r="A99" s="35" t="n"/>
      <c r="B99" s="35" t="n"/>
      <c r="C99" s="36" t="n"/>
      <c r="D99" s="36" t="n"/>
      <c r="E99" s="35" t="n"/>
      <c r="F99" s="36" t="n"/>
    </row>
    <row r="100">
      <c r="A100" s="35" t="n"/>
      <c r="B100" s="35" t="n"/>
      <c r="C100" s="36" t="n"/>
      <c r="D100" s="36" t="n"/>
      <c r="E100" s="35" t="n"/>
      <c r="F100" s="36" t="n"/>
    </row>
    <row r="101">
      <c r="A101" s="35" t="n"/>
      <c r="B101" s="35" t="n"/>
      <c r="C101" s="36" t="n"/>
      <c r="D101" s="36" t="n"/>
      <c r="E101" s="35" t="n"/>
      <c r="F101" s="36" t="n"/>
    </row>
    <row r="102">
      <c r="A102" s="35" t="n"/>
      <c r="B102" s="35" t="n"/>
      <c r="C102" s="36" t="n"/>
      <c r="D102" s="36" t="n"/>
      <c r="E102" s="35" t="n"/>
      <c r="F102" s="36" t="n"/>
    </row>
    <row r="103">
      <c r="A103" s="35" t="n"/>
      <c r="B103" s="35" t="n"/>
      <c r="C103" s="36" t="n"/>
      <c r="D103" s="36" t="n"/>
      <c r="E103" s="35" t="n"/>
      <c r="F103" s="36" t="n"/>
    </row>
    <row r="104">
      <c r="A104" s="35" t="n"/>
      <c r="B104" s="35" t="n"/>
      <c r="C104" s="36" t="n"/>
      <c r="D104" s="36" t="n"/>
      <c r="E104" s="35" t="n"/>
      <c r="F104" s="36" t="n"/>
    </row>
    <row r="105">
      <c r="A105" s="35" t="n"/>
      <c r="B105" s="35" t="n"/>
      <c r="C105" s="36" t="n"/>
      <c r="D105" s="36" t="n"/>
      <c r="E105" s="35" t="n"/>
      <c r="F105" s="36" t="n"/>
    </row>
    <row r="106">
      <c r="A106" s="35" t="n"/>
      <c r="B106" s="35" t="n"/>
      <c r="C106" s="36" t="n"/>
      <c r="D106" s="36" t="n"/>
      <c r="E106" s="35" t="n"/>
      <c r="F106" s="36" t="n"/>
    </row>
    <row r="107">
      <c r="A107" s="35" t="n"/>
      <c r="B107" s="35" t="n"/>
      <c r="C107" s="36" t="n"/>
      <c r="D107" s="36" t="n"/>
      <c r="E107" s="35" t="n"/>
      <c r="F107" s="36" t="n"/>
    </row>
    <row r="108">
      <c r="A108" s="35" t="n"/>
      <c r="B108" s="35" t="n"/>
      <c r="C108" s="36" t="n"/>
      <c r="D108" s="36" t="n"/>
      <c r="E108" s="35" t="n"/>
      <c r="F108" s="36" t="n"/>
    </row>
    <row r="109">
      <c r="A109" s="35" t="n"/>
      <c r="B109" s="35" t="n"/>
      <c r="C109" s="36" t="n"/>
      <c r="D109" s="36" t="n"/>
      <c r="E109" s="35" t="n"/>
      <c r="F109" s="36" t="n"/>
    </row>
    <row r="110">
      <c r="A110" s="35" t="n"/>
      <c r="B110" s="35" t="n"/>
      <c r="C110" s="36" t="n"/>
      <c r="D110" s="36" t="n"/>
      <c r="E110" s="35" t="n"/>
      <c r="F110" s="36" t="n"/>
    </row>
    <row r="111">
      <c r="A111" s="35" t="n"/>
      <c r="B111" s="35" t="n"/>
      <c r="C111" s="36" t="n"/>
      <c r="D111" s="36" t="n"/>
      <c r="E111" s="35" t="n"/>
      <c r="F111" s="36" t="n"/>
    </row>
    <row r="112">
      <c r="A112" s="35" t="n"/>
      <c r="B112" s="35" t="n"/>
      <c r="C112" s="36" t="n"/>
      <c r="D112" s="36" t="n"/>
      <c r="E112" s="35" t="n"/>
      <c r="F112" s="36" t="n"/>
    </row>
    <row r="113">
      <c r="A113" s="35" t="n"/>
      <c r="B113" s="35" t="n"/>
      <c r="C113" s="36" t="n"/>
      <c r="D113" s="36" t="n"/>
      <c r="E113" s="35" t="n"/>
      <c r="F113" s="36" t="n"/>
    </row>
    <row r="114">
      <c r="A114" s="35" t="n"/>
      <c r="B114" s="35" t="n"/>
      <c r="C114" s="36" t="n"/>
      <c r="D114" s="36" t="n"/>
      <c r="E114" s="35" t="n"/>
      <c r="F114" s="36" t="n"/>
    </row>
    <row r="115">
      <c r="A115" s="35" t="n"/>
      <c r="B115" s="35" t="n"/>
      <c r="C115" s="36" t="n"/>
      <c r="D115" s="36" t="n"/>
      <c r="E115" s="35" t="n"/>
      <c r="F115" s="36" t="n"/>
    </row>
    <row r="116">
      <c r="A116" s="35" t="n"/>
      <c r="B116" s="35" t="n"/>
      <c r="C116" s="36" t="n"/>
      <c r="D116" s="36" t="n"/>
      <c r="E116" s="35" t="n"/>
      <c r="F116" s="36" t="n"/>
    </row>
    <row r="117">
      <c r="A117" s="35" t="n"/>
      <c r="B117" s="35" t="n"/>
      <c r="C117" s="36" t="n"/>
      <c r="D117" s="36" t="n"/>
      <c r="E117" s="35" t="n"/>
      <c r="F117" s="36" t="n"/>
    </row>
    <row r="118">
      <c r="A118" s="35" t="n"/>
      <c r="B118" s="35" t="n"/>
      <c r="C118" s="36" t="n"/>
      <c r="D118" s="36" t="n"/>
      <c r="E118" s="35" t="n"/>
      <c r="F118" s="36" t="n"/>
    </row>
    <row r="119">
      <c r="A119" s="35" t="n"/>
      <c r="B119" s="35" t="n"/>
      <c r="C119" s="36" t="n"/>
      <c r="D119" s="36" t="n"/>
      <c r="E119" s="35" t="n"/>
      <c r="F119" s="36" t="n"/>
    </row>
    <row r="120">
      <c r="A120" s="35" t="n"/>
      <c r="B120" s="35" t="n"/>
      <c r="C120" s="36" t="n"/>
      <c r="D120" s="36" t="n"/>
      <c r="E120" s="35" t="n"/>
      <c r="F120" s="36" t="n"/>
    </row>
    <row r="121">
      <c r="A121" s="35" t="n"/>
      <c r="B121" s="35" t="n"/>
      <c r="C121" s="36" t="n"/>
      <c r="D121" s="36" t="n"/>
      <c r="E121" s="35" t="n"/>
      <c r="F121" s="36" t="n"/>
    </row>
    <row r="122">
      <c r="A122" s="35" t="n"/>
      <c r="B122" s="35" t="n"/>
      <c r="C122" s="36" t="n"/>
      <c r="D122" s="36" t="n"/>
      <c r="E122" s="35" t="n"/>
      <c r="F122" s="36" t="n"/>
    </row>
    <row r="123">
      <c r="A123" s="35" t="n"/>
      <c r="B123" s="35" t="n"/>
      <c r="C123" s="36" t="n"/>
      <c r="D123" s="36" t="n"/>
      <c r="E123" s="35" t="n"/>
      <c r="F123" s="36" t="n"/>
    </row>
    <row r="124">
      <c r="A124" s="35" t="n"/>
      <c r="B124" s="35" t="n"/>
      <c r="C124" s="36" t="n"/>
      <c r="D124" s="36" t="n"/>
      <c r="E124" s="35" t="n"/>
      <c r="F124" s="36" t="n"/>
    </row>
    <row r="125">
      <c r="A125" s="35" t="n"/>
      <c r="B125" s="35" t="n"/>
      <c r="C125" s="36" t="n"/>
      <c r="D125" s="36" t="n"/>
      <c r="E125" s="35" t="n"/>
      <c r="F125" s="36" t="n"/>
    </row>
    <row r="126">
      <c r="A126" s="35" t="n"/>
      <c r="B126" s="35" t="n"/>
      <c r="C126" s="36" t="n"/>
      <c r="D126" s="36" t="n"/>
      <c r="E126" s="35" t="n"/>
      <c r="F126" s="36" t="n"/>
    </row>
    <row r="127">
      <c r="A127" s="35" t="n"/>
      <c r="B127" s="35" t="n"/>
      <c r="C127" s="36" t="n"/>
      <c r="D127" s="36" t="n"/>
      <c r="E127" s="35" t="n"/>
      <c r="F127" s="36" t="n"/>
    </row>
    <row r="128">
      <c r="A128" s="35" t="n"/>
      <c r="B128" s="35" t="n"/>
      <c r="C128" s="36" t="n"/>
      <c r="D128" s="36" t="n"/>
      <c r="E128" s="35" t="n"/>
      <c r="F128" s="36" t="n"/>
    </row>
    <row r="129">
      <c r="A129" s="35" t="n"/>
      <c r="B129" s="35" t="n"/>
      <c r="C129" s="36" t="n"/>
      <c r="D129" s="36" t="n"/>
      <c r="E129" s="35" t="n"/>
      <c r="F129" s="36" t="n"/>
    </row>
    <row r="130">
      <c r="A130" s="35" t="n"/>
      <c r="B130" s="35" t="n"/>
      <c r="C130" s="36" t="n"/>
      <c r="D130" s="36" t="n"/>
      <c r="E130" s="35" t="n"/>
      <c r="F130" s="36" t="n"/>
    </row>
    <row r="131">
      <c r="A131" s="35" t="n"/>
      <c r="B131" s="35" t="n"/>
      <c r="C131" s="36" t="n"/>
      <c r="D131" s="36" t="n"/>
      <c r="E131" s="35" t="n"/>
      <c r="F131" s="36" t="n"/>
    </row>
    <row r="132">
      <c r="A132" s="35" t="n"/>
      <c r="B132" s="35" t="n"/>
      <c r="C132" s="36" t="n"/>
      <c r="D132" s="36" t="n"/>
      <c r="E132" s="35" t="n"/>
      <c r="F132" s="36" t="n"/>
    </row>
    <row r="133">
      <c r="A133" s="35" t="n"/>
      <c r="B133" s="35" t="n"/>
      <c r="C133" s="36" t="n"/>
      <c r="D133" s="36" t="n"/>
      <c r="E133" s="35" t="n"/>
      <c r="F133" s="36" t="n"/>
    </row>
    <row r="134">
      <c r="A134" s="35" t="n"/>
      <c r="B134" s="35" t="n"/>
      <c r="C134" s="36" t="n"/>
      <c r="D134" s="36" t="n"/>
      <c r="E134" s="35" t="n"/>
      <c r="F134" s="36" t="n"/>
    </row>
    <row r="135">
      <c r="A135" s="35" t="n"/>
      <c r="B135" s="35" t="n"/>
      <c r="C135" s="36" t="n"/>
      <c r="D135" s="36" t="n"/>
      <c r="E135" s="35" t="n"/>
      <c r="F135" s="36" t="n"/>
    </row>
    <row r="136">
      <c r="A136" s="35" t="n"/>
      <c r="B136" s="35" t="n"/>
      <c r="C136" s="36" t="n"/>
      <c r="D136" s="36" t="n"/>
      <c r="E136" s="35" t="n"/>
      <c r="F136" s="36" t="n"/>
    </row>
    <row r="137">
      <c r="A137" s="35" t="n"/>
      <c r="B137" s="35" t="n"/>
      <c r="C137" s="36" t="n"/>
      <c r="D137" s="36" t="n"/>
      <c r="E137" s="35" t="n"/>
      <c r="F137" s="36" t="n"/>
    </row>
    <row r="138">
      <c r="A138" s="35" t="n"/>
      <c r="B138" s="35" t="n"/>
      <c r="C138" s="36" t="n"/>
      <c r="D138" s="36" t="n"/>
      <c r="E138" s="35" t="n"/>
      <c r="F138" s="36" t="n"/>
    </row>
    <row r="139">
      <c r="A139" s="35" t="n"/>
      <c r="B139" s="35" t="n"/>
      <c r="C139" s="36" t="n"/>
      <c r="D139" s="36" t="n"/>
      <c r="E139" s="35" t="n"/>
      <c r="F139" s="36" t="n"/>
    </row>
    <row r="140">
      <c r="A140" s="35" t="n"/>
      <c r="B140" s="35" t="n"/>
      <c r="C140" s="36" t="n"/>
      <c r="D140" s="36" t="n"/>
      <c r="E140" s="35" t="n"/>
      <c r="F140" s="36" t="n"/>
    </row>
    <row r="141">
      <c r="A141" s="35" t="n"/>
      <c r="B141" s="35" t="n"/>
      <c r="C141" s="36" t="n"/>
      <c r="D141" s="36" t="n"/>
      <c r="E141" s="35" t="n"/>
      <c r="F141" s="36" t="n"/>
    </row>
    <row r="142">
      <c r="A142" s="35" t="n"/>
      <c r="B142" s="35" t="n"/>
      <c r="C142" s="36" t="n"/>
      <c r="D142" s="36" t="n"/>
      <c r="E142" s="35" t="n"/>
      <c r="F142" s="36" t="n"/>
    </row>
    <row r="143">
      <c r="A143" s="35" t="n"/>
      <c r="B143" s="35" t="n"/>
      <c r="C143" s="36" t="n"/>
      <c r="D143" s="36" t="n"/>
      <c r="E143" s="35" t="n"/>
      <c r="F143" s="36" t="n"/>
    </row>
    <row r="144">
      <c r="A144" s="35" t="n"/>
      <c r="B144" s="35" t="n"/>
      <c r="C144" s="36" t="n"/>
      <c r="D144" s="36" t="n"/>
      <c r="E144" s="35" t="n"/>
      <c r="F144" s="36" t="n"/>
    </row>
    <row r="145">
      <c r="A145" s="35" t="n"/>
      <c r="B145" s="35" t="n"/>
      <c r="C145" s="36" t="n"/>
      <c r="D145" s="36" t="n"/>
      <c r="E145" s="35" t="n"/>
      <c r="F145" s="36" t="n"/>
    </row>
    <row r="146">
      <c r="A146" s="35" t="n"/>
      <c r="B146" s="35" t="n"/>
      <c r="C146" s="36" t="n"/>
      <c r="D146" s="36" t="n"/>
      <c r="E146" s="35" t="n"/>
      <c r="F146" s="36" t="n"/>
    </row>
    <row r="147">
      <c r="A147" s="35" t="n"/>
      <c r="B147" s="35" t="n"/>
      <c r="C147" s="36" t="n"/>
      <c r="D147" s="36" t="n"/>
      <c r="E147" s="35" t="n"/>
      <c r="F147" s="36" t="n"/>
    </row>
    <row r="148">
      <c r="A148" s="35" t="n"/>
      <c r="B148" s="35" t="n"/>
      <c r="C148" s="36" t="n"/>
      <c r="D148" s="36" t="n"/>
      <c r="E148" s="35" t="n"/>
      <c r="F148" s="36" t="n"/>
    </row>
    <row r="149">
      <c r="A149" s="35" t="n"/>
      <c r="B149" s="35" t="n"/>
      <c r="C149" s="36" t="n"/>
      <c r="D149" s="36" t="n"/>
      <c r="E149" s="35" t="n"/>
      <c r="F149" s="36" t="n"/>
    </row>
    <row r="150">
      <c r="A150" s="35" t="n"/>
      <c r="B150" s="35" t="n"/>
      <c r="C150" s="36" t="n"/>
      <c r="D150" s="36" t="n"/>
      <c r="E150" s="35" t="n"/>
      <c r="F150" s="36" t="n"/>
    </row>
    <row r="151">
      <c r="A151" s="35" t="n"/>
      <c r="B151" s="35" t="n"/>
      <c r="C151" s="36" t="n"/>
      <c r="D151" s="36" t="n"/>
      <c r="E151" s="35" t="n"/>
      <c r="F151" s="36" t="n"/>
    </row>
    <row r="152">
      <c r="A152" s="35" t="n"/>
      <c r="B152" s="35" t="n"/>
      <c r="C152" s="36" t="n"/>
      <c r="D152" s="36" t="n"/>
      <c r="E152" s="35" t="n"/>
      <c r="F152" s="36" t="n"/>
    </row>
    <row r="153">
      <c r="A153" s="35" t="n"/>
      <c r="B153" s="35" t="n"/>
      <c r="C153" s="36" t="n"/>
      <c r="D153" s="36" t="n"/>
      <c r="E153" s="35" t="n"/>
      <c r="F153" s="36" t="n"/>
    </row>
    <row r="154">
      <c r="A154" s="35" t="n"/>
      <c r="B154" s="35" t="n"/>
      <c r="C154" s="36" t="n"/>
      <c r="D154" s="36" t="n"/>
      <c r="E154" s="35" t="n"/>
      <c r="F154" s="36" t="n"/>
    </row>
    <row r="155">
      <c r="A155" s="35" t="n"/>
      <c r="B155" s="35" t="n"/>
      <c r="C155" s="36" t="n"/>
      <c r="D155" s="36" t="n"/>
      <c r="E155" s="35" t="n"/>
      <c r="F155" s="36" t="n"/>
    </row>
    <row r="156">
      <c r="A156" s="35" t="n"/>
      <c r="B156" s="35" t="n"/>
      <c r="C156" s="36" t="n"/>
      <c r="D156" s="36" t="n"/>
      <c r="E156" s="35" t="n"/>
      <c r="F156" s="36" t="n"/>
    </row>
    <row r="157">
      <c r="A157" s="35" t="n"/>
      <c r="B157" s="35" t="n"/>
      <c r="C157" s="36" t="n"/>
      <c r="D157" s="36" t="n"/>
      <c r="E157" s="35" t="n"/>
      <c r="F157" s="36" t="n"/>
    </row>
    <row r="158">
      <c r="A158" s="35" t="n"/>
      <c r="B158" s="35" t="n"/>
      <c r="C158" s="36" t="n"/>
      <c r="D158" s="36" t="n"/>
      <c r="E158" s="35" t="n"/>
      <c r="F158" s="36" t="n"/>
    </row>
    <row r="159">
      <c r="A159" s="35" t="n"/>
      <c r="B159" s="35" t="n"/>
      <c r="C159" s="36" t="n"/>
      <c r="D159" s="36" t="n"/>
      <c r="E159" s="35" t="n"/>
      <c r="F159" s="36" t="n"/>
    </row>
    <row r="160">
      <c r="A160" s="35" t="n"/>
      <c r="B160" s="35" t="n"/>
      <c r="C160" s="36" t="n"/>
      <c r="D160" s="36" t="n"/>
      <c r="E160" s="35" t="n"/>
      <c r="F160" s="36" t="n"/>
    </row>
    <row r="161">
      <c r="A161" s="35" t="n"/>
      <c r="B161" s="35" t="n"/>
      <c r="C161" s="36" t="n"/>
      <c r="D161" s="36" t="n"/>
      <c r="E161" s="35" t="n"/>
      <c r="F161" s="36" t="n"/>
    </row>
    <row r="162">
      <c r="A162" s="35" t="n"/>
      <c r="B162" s="35" t="n"/>
      <c r="C162" s="36" t="n"/>
      <c r="D162" s="36" t="n"/>
      <c r="E162" s="35" t="n"/>
      <c r="F162" s="36" t="n"/>
    </row>
    <row r="163">
      <c r="A163" s="35" t="n"/>
      <c r="B163" s="35" t="n"/>
      <c r="C163" s="36" t="n"/>
      <c r="D163" s="36" t="n"/>
      <c r="E163" s="35" t="n"/>
      <c r="F163" s="36" t="n"/>
    </row>
    <row r="164">
      <c r="A164" s="35" t="n"/>
      <c r="B164" s="35" t="n"/>
      <c r="C164" s="36" t="n"/>
      <c r="D164" s="36" t="n"/>
      <c r="E164" s="35" t="n"/>
      <c r="F164" s="36" t="n"/>
    </row>
    <row r="165">
      <c r="A165" s="35" t="n"/>
      <c r="B165" s="35" t="n"/>
      <c r="C165" s="36" t="n"/>
      <c r="D165" s="36" t="n"/>
      <c r="E165" s="35" t="n"/>
      <c r="F165" s="36" t="n"/>
    </row>
    <row r="166">
      <c r="A166" s="35" t="n"/>
      <c r="B166" s="35" t="n"/>
      <c r="C166" s="36" t="n"/>
      <c r="D166" s="36" t="n"/>
      <c r="E166" s="35" t="n"/>
      <c r="F166" s="36" t="n"/>
    </row>
    <row r="167">
      <c r="A167" s="35" t="n"/>
      <c r="B167" s="35" t="n"/>
      <c r="C167" s="36" t="n"/>
      <c r="D167" s="36" t="n"/>
      <c r="E167" s="35" t="n"/>
      <c r="F167" s="36" t="n"/>
    </row>
    <row r="168">
      <c r="A168" s="35" t="n"/>
      <c r="B168" s="35" t="n"/>
      <c r="C168" s="36" t="n"/>
      <c r="D168" s="36" t="n"/>
      <c r="E168" s="35" t="n"/>
      <c r="F168" s="36" t="n"/>
    </row>
    <row r="169">
      <c r="A169" s="35" t="n"/>
      <c r="B169" s="35" t="n"/>
      <c r="C169" s="36" t="n"/>
      <c r="D169" s="36" t="n"/>
      <c r="E169" s="35" t="n"/>
      <c r="F169" s="36" t="n"/>
    </row>
    <row r="170">
      <c r="A170" s="35" t="n"/>
      <c r="B170" s="35" t="n"/>
      <c r="C170" s="36" t="n"/>
      <c r="D170" s="36" t="n"/>
      <c r="E170" s="35" t="n"/>
      <c r="F170" s="36" t="n"/>
    </row>
    <row r="171">
      <c r="A171" s="35" t="n"/>
      <c r="B171" s="35" t="n"/>
      <c r="C171" s="36" t="n"/>
      <c r="D171" s="36" t="n"/>
      <c r="E171" s="35" t="n"/>
      <c r="F171" s="36" t="n"/>
    </row>
    <row r="172">
      <c r="A172" s="35" t="n"/>
      <c r="B172" s="35" t="n"/>
      <c r="C172" s="36" t="n"/>
      <c r="D172" s="36" t="n"/>
      <c r="E172" s="35" t="n"/>
      <c r="F172" s="36" t="n"/>
    </row>
    <row r="173">
      <c r="A173" s="35" t="n"/>
      <c r="B173" s="35" t="n"/>
      <c r="C173" s="36" t="n"/>
      <c r="D173" s="36" t="n"/>
      <c r="E173" s="35" t="n"/>
      <c r="F173" s="36" t="n"/>
    </row>
    <row r="174">
      <c r="A174" s="35" t="n"/>
      <c r="B174" s="35" t="n"/>
      <c r="C174" s="36" t="n"/>
      <c r="D174" s="36" t="n"/>
      <c r="E174" s="35" t="n"/>
      <c r="F174" s="36" t="n"/>
    </row>
    <row r="175">
      <c r="A175" s="35" t="n"/>
      <c r="B175" s="35" t="n"/>
      <c r="C175" s="36" t="n"/>
      <c r="D175" s="36" t="n"/>
      <c r="E175" s="35" t="n"/>
      <c r="F175" s="36" t="n"/>
    </row>
    <row r="176">
      <c r="A176" s="35" t="n"/>
      <c r="B176" s="35" t="n"/>
      <c r="C176" s="36" t="n"/>
      <c r="D176" s="36" t="n"/>
      <c r="E176" s="35" t="n"/>
      <c r="F176" s="36" t="n"/>
    </row>
    <row r="177">
      <c r="A177" s="35" t="n"/>
      <c r="B177" s="35" t="n"/>
      <c r="C177" s="36" t="n"/>
      <c r="D177" s="36" t="n"/>
      <c r="E177" s="35" t="n"/>
      <c r="F177" s="36" t="n"/>
    </row>
    <row r="178">
      <c r="A178" s="35" t="n"/>
      <c r="B178" s="35" t="n"/>
      <c r="C178" s="36" t="n"/>
      <c r="D178" s="36" t="n"/>
      <c r="E178" s="35" t="n"/>
      <c r="F178" s="36" t="n"/>
    </row>
    <row r="179">
      <c r="A179" s="35" t="n"/>
      <c r="B179" s="35" t="n"/>
      <c r="C179" s="36" t="n"/>
      <c r="D179" s="36" t="n"/>
      <c r="E179" s="35" t="n"/>
      <c r="F179" s="36" t="n"/>
    </row>
    <row r="180">
      <c r="A180" s="35" t="n"/>
      <c r="B180" s="35" t="n"/>
      <c r="C180" s="36" t="n"/>
      <c r="D180" s="36" t="n"/>
      <c r="E180" s="35" t="n"/>
      <c r="F180" s="36" t="n"/>
    </row>
    <row r="181">
      <c r="A181" s="35" t="n"/>
      <c r="B181" s="35" t="n"/>
      <c r="C181" s="36" t="n"/>
      <c r="D181" s="36" t="n"/>
      <c r="E181" s="35" t="n"/>
      <c r="F181" s="36" t="n"/>
    </row>
    <row r="182">
      <c r="A182" s="35" t="n"/>
      <c r="B182" s="35" t="n"/>
      <c r="C182" s="36" t="n"/>
      <c r="D182" s="36" t="n"/>
      <c r="E182" s="35" t="n"/>
      <c r="F182" s="36" t="n"/>
    </row>
    <row r="183">
      <c r="A183" s="35" t="n"/>
      <c r="B183" s="35" t="n"/>
      <c r="C183" s="36" t="n"/>
      <c r="D183" s="36" t="n"/>
      <c r="E183" s="35" t="n"/>
      <c r="F183" s="36" t="n"/>
    </row>
    <row r="184">
      <c r="A184" s="35" t="n"/>
      <c r="B184" s="35" t="n"/>
      <c r="C184" s="36" t="n"/>
      <c r="D184" s="36" t="n"/>
      <c r="E184" s="35" t="n"/>
      <c r="F184" s="36" t="n"/>
    </row>
    <row r="185">
      <c r="A185" s="35" t="n"/>
      <c r="B185" s="35" t="n"/>
      <c r="C185" s="36" t="n"/>
      <c r="D185" s="36" t="n"/>
      <c r="E185" s="35" t="n"/>
      <c r="F185" s="36" t="n"/>
    </row>
    <row r="186">
      <c r="A186" s="35" t="n"/>
      <c r="B186" s="35" t="n"/>
      <c r="C186" s="36" t="n"/>
      <c r="D186" s="36" t="n"/>
      <c r="E186" s="35" t="n"/>
      <c r="F186" s="36" t="n"/>
    </row>
    <row r="187">
      <c r="A187" s="35" t="n"/>
      <c r="B187" s="35" t="n"/>
      <c r="C187" s="36" t="n"/>
      <c r="D187" s="36" t="n"/>
      <c r="E187" s="35" t="n"/>
      <c r="F187" s="36" t="n"/>
    </row>
    <row r="188">
      <c r="A188" s="35" t="n"/>
      <c r="B188" s="35" t="n"/>
      <c r="C188" s="36" t="n"/>
      <c r="D188" s="36" t="n"/>
      <c r="E188" s="35" t="n"/>
      <c r="F188" s="36" t="n"/>
    </row>
    <row r="189">
      <c r="A189" s="35" t="n"/>
      <c r="B189" s="35" t="n"/>
      <c r="C189" s="36" t="n"/>
      <c r="D189" s="36" t="n"/>
      <c r="E189" s="35" t="n"/>
      <c r="F189" s="36" t="n"/>
    </row>
    <row r="190">
      <c r="A190" s="35" t="n"/>
      <c r="B190" s="35" t="n"/>
      <c r="C190" s="36" t="n"/>
      <c r="D190" s="36" t="n"/>
      <c r="E190" s="35" t="n"/>
      <c r="F190" s="36" t="n"/>
    </row>
    <row r="191">
      <c r="A191" s="35" t="n"/>
      <c r="B191" s="35" t="n"/>
      <c r="C191" s="36" t="n"/>
      <c r="D191" s="36" t="n"/>
      <c r="E191" s="35" t="n"/>
      <c r="F191" s="36" t="n"/>
    </row>
    <row r="192">
      <c r="A192" s="35" t="n"/>
      <c r="B192" s="35" t="n"/>
      <c r="C192" s="36" t="n"/>
      <c r="D192" s="36" t="n"/>
      <c r="E192" s="35" t="n"/>
      <c r="F192" s="36" t="n"/>
    </row>
    <row r="193">
      <c r="A193" s="35" t="n"/>
      <c r="B193" s="35" t="n"/>
      <c r="C193" s="36" t="n"/>
      <c r="D193" s="36" t="n"/>
      <c r="E193" s="35" t="n"/>
      <c r="F193" s="36" t="n"/>
    </row>
    <row r="194">
      <c r="A194" s="35" t="n"/>
      <c r="B194" s="35" t="n"/>
      <c r="C194" s="36" t="n"/>
      <c r="D194" s="36" t="n"/>
      <c r="E194" s="35" t="n"/>
      <c r="F194" s="36" t="n"/>
    </row>
    <row r="195">
      <c r="A195" s="35" t="n"/>
      <c r="B195" s="35" t="n"/>
      <c r="C195" s="36" t="n"/>
      <c r="D195" s="36" t="n"/>
      <c r="E195" s="35" t="n"/>
      <c r="F195" s="36" t="n"/>
    </row>
    <row r="196">
      <c r="A196" s="35" t="n"/>
      <c r="B196" s="35" t="n"/>
      <c r="C196" s="36" t="n"/>
      <c r="D196" s="36" t="n"/>
      <c r="E196" s="35" t="n"/>
      <c r="F196" s="36" t="n"/>
    </row>
    <row r="197">
      <c r="A197" s="35" t="n"/>
      <c r="B197" s="35" t="n"/>
      <c r="C197" s="36" t="n"/>
      <c r="D197" s="36" t="n"/>
      <c r="E197" s="35" t="n"/>
      <c r="F197" s="36" t="n"/>
    </row>
    <row r="198">
      <c r="A198" s="35" t="n"/>
      <c r="B198" s="35" t="n"/>
      <c r="C198" s="36" t="n"/>
      <c r="D198" s="36" t="n"/>
      <c r="E198" s="35" t="n"/>
      <c r="F198" s="36" t="n"/>
    </row>
    <row r="199">
      <c r="A199" s="35" t="n"/>
      <c r="B199" s="35" t="n"/>
      <c r="C199" s="36" t="n"/>
      <c r="D199" s="36" t="n"/>
      <c r="E199" s="35" t="n"/>
      <c r="F199" s="36" t="n"/>
    </row>
    <row r="200">
      <c r="A200" s="35" t="n"/>
      <c r="B200" s="35" t="n"/>
      <c r="C200" s="36" t="n"/>
      <c r="D200" s="36" t="n"/>
      <c r="E200" s="35" t="n"/>
      <c r="F200" s="36" t="n"/>
    </row>
    <row r="201">
      <c r="A201" s="35" t="n"/>
      <c r="B201" s="35" t="n"/>
      <c r="C201" s="36" t="n"/>
      <c r="D201" s="36" t="n"/>
      <c r="E201" s="35" t="n"/>
      <c r="F201" s="36" t="n"/>
    </row>
    <row r="202">
      <c r="A202" s="35" t="n"/>
      <c r="B202" s="35" t="n"/>
      <c r="C202" s="36" t="n"/>
      <c r="D202" s="36" t="n"/>
      <c r="E202" s="35" t="n"/>
      <c r="F202" s="36" t="n"/>
    </row>
    <row r="203">
      <c r="A203" s="35" t="n"/>
      <c r="B203" s="35" t="n"/>
      <c r="C203" s="36" t="n"/>
      <c r="D203" s="36" t="n"/>
      <c r="E203" s="35" t="n"/>
      <c r="F203" s="36" t="n"/>
    </row>
    <row r="204">
      <c r="A204" s="35" t="n"/>
      <c r="B204" s="35" t="n"/>
      <c r="C204" s="36" t="n"/>
      <c r="D204" s="36" t="n"/>
      <c r="E204" s="35" t="n"/>
      <c r="F204" s="36" t="n"/>
    </row>
    <row r="205">
      <c r="A205" s="35" t="n"/>
      <c r="B205" s="35" t="n"/>
      <c r="C205" s="36" t="n"/>
      <c r="D205" s="36" t="n"/>
      <c r="E205" s="35" t="n"/>
      <c r="F205" s="36" t="n"/>
    </row>
    <row r="206">
      <c r="A206" s="35" t="n"/>
      <c r="B206" s="35" t="n"/>
      <c r="C206" s="36" t="n"/>
      <c r="D206" s="36" t="n"/>
      <c r="E206" s="35" t="n"/>
      <c r="F206" s="36" t="n"/>
    </row>
    <row r="207">
      <c r="A207" s="35" t="n"/>
      <c r="B207" s="35" t="n"/>
      <c r="C207" s="36" t="n"/>
      <c r="D207" s="36" t="n"/>
      <c r="E207" s="35" t="n"/>
      <c r="F207" s="36" t="n"/>
    </row>
    <row r="208">
      <c r="A208" s="35" t="n"/>
      <c r="B208" s="35" t="n"/>
      <c r="C208" s="36" t="n"/>
      <c r="D208" s="36" t="n"/>
      <c r="E208" s="35" t="n"/>
      <c r="F208" s="36" t="n"/>
    </row>
    <row r="209">
      <c r="A209" s="35" t="n"/>
      <c r="B209" s="35" t="n"/>
      <c r="C209" s="36" t="n"/>
      <c r="D209" s="36" t="n"/>
      <c r="E209" s="35" t="n"/>
      <c r="F209" s="36" t="n"/>
    </row>
    <row r="210">
      <c r="A210" s="35" t="n"/>
      <c r="B210" s="35" t="n"/>
      <c r="C210" s="36" t="n"/>
      <c r="D210" s="36" t="n"/>
      <c r="E210" s="35" t="n"/>
      <c r="F210" s="36" t="n"/>
    </row>
    <row r="211">
      <c r="A211" s="35" t="n"/>
      <c r="B211" s="35" t="n"/>
      <c r="C211" s="36" t="n"/>
      <c r="D211" s="36" t="n"/>
      <c r="E211" s="35" t="n"/>
      <c r="F211" s="36" t="n"/>
    </row>
    <row r="212">
      <c r="A212" s="35" t="n"/>
      <c r="B212" s="35" t="n"/>
      <c r="C212" s="36" t="n"/>
      <c r="D212" s="36" t="n"/>
      <c r="E212" s="35" t="n"/>
      <c r="F212" s="36" t="n"/>
    </row>
    <row r="213">
      <c r="A213" s="35" t="n"/>
      <c r="B213" s="35" t="n"/>
      <c r="C213" s="36" t="n"/>
      <c r="D213" s="36" t="n"/>
      <c r="E213" s="35" t="n"/>
      <c r="F213" s="36" t="n"/>
    </row>
    <row r="214">
      <c r="A214" s="35" t="n"/>
      <c r="B214" s="35" t="n"/>
      <c r="C214" s="36" t="n"/>
      <c r="D214" s="36" t="n"/>
      <c r="E214" s="35" t="n"/>
      <c r="F214" s="36" t="n"/>
    </row>
    <row r="215">
      <c r="A215" s="35" t="n"/>
      <c r="B215" s="35" t="n"/>
      <c r="C215" s="36" t="n"/>
      <c r="D215" s="36" t="n"/>
      <c r="E215" s="35" t="n"/>
      <c r="F215" s="36" t="n"/>
    </row>
    <row r="216">
      <c r="A216" s="35" t="n"/>
      <c r="B216" s="35" t="n"/>
      <c r="C216" s="36" t="n"/>
      <c r="D216" s="36" t="n"/>
      <c r="E216" s="35" t="n"/>
      <c r="F216" s="36" t="n"/>
    </row>
    <row r="217">
      <c r="A217" s="35" t="n"/>
      <c r="B217" s="35" t="n"/>
      <c r="C217" s="36" t="n"/>
      <c r="D217" s="36" t="n"/>
      <c r="E217" s="35" t="n"/>
      <c r="F217" s="36" t="n"/>
    </row>
    <row r="218">
      <c r="A218" s="35" t="n"/>
      <c r="B218" s="35" t="n"/>
      <c r="C218" s="36" t="n"/>
      <c r="D218" s="36" t="n"/>
      <c r="E218" s="35" t="n"/>
      <c r="F218" s="36" t="n"/>
    </row>
    <row r="219">
      <c r="A219" s="35" t="n"/>
      <c r="B219" s="35" t="n"/>
      <c r="C219" s="36" t="n"/>
      <c r="D219" s="36" t="n"/>
      <c r="E219" s="35" t="n"/>
      <c r="F219" s="36" t="n"/>
    </row>
    <row r="220">
      <c r="A220" s="35" t="n"/>
      <c r="B220" s="35" t="n"/>
      <c r="C220" s="36" t="n"/>
      <c r="D220" s="36" t="n"/>
      <c r="E220" s="35" t="n"/>
      <c r="F220" s="36" t="n"/>
    </row>
    <row r="221">
      <c r="A221" s="35" t="n"/>
      <c r="B221" s="35" t="n"/>
      <c r="C221" s="36" t="n"/>
      <c r="D221" s="36" t="n"/>
      <c r="E221" s="35" t="n"/>
      <c r="F221" s="36" t="n"/>
    </row>
    <row r="222">
      <c r="A222" s="35" t="n"/>
      <c r="B222" s="35" t="n"/>
      <c r="C222" s="36" t="n"/>
      <c r="D222" s="36" t="n"/>
      <c r="E222" s="35" t="n"/>
      <c r="F222" s="36" t="n"/>
    </row>
    <row r="223">
      <c r="A223" s="35" t="n"/>
      <c r="B223" s="35" t="n"/>
      <c r="C223" s="36" t="n"/>
      <c r="D223" s="36" t="n"/>
      <c r="E223" s="35" t="n"/>
      <c r="F223" s="36" t="n"/>
    </row>
    <row r="224">
      <c r="A224" s="35" t="n"/>
      <c r="B224" s="35" t="n"/>
      <c r="C224" s="36" t="n"/>
      <c r="D224" s="36" t="n"/>
      <c r="E224" s="35" t="n"/>
      <c r="F224" s="36" t="n"/>
    </row>
    <row r="225">
      <c r="A225" s="35" t="n"/>
      <c r="B225" s="35" t="n"/>
      <c r="C225" s="36" t="n"/>
      <c r="D225" s="36" t="n"/>
      <c r="E225" s="35" t="n"/>
      <c r="F225" s="36" t="n"/>
    </row>
    <row r="226">
      <c r="A226" s="35" t="n"/>
      <c r="B226" s="35" t="n"/>
      <c r="C226" s="36" t="n"/>
      <c r="D226" s="36" t="n"/>
      <c r="E226" s="35" t="n"/>
      <c r="F226" s="36" t="n"/>
    </row>
    <row r="227">
      <c r="A227" s="35" t="n"/>
      <c r="B227" s="35" t="n"/>
      <c r="C227" s="36" t="n"/>
      <c r="D227" s="36" t="n"/>
      <c r="E227" s="35" t="n"/>
      <c r="F227" s="36" t="n"/>
    </row>
    <row r="228">
      <c r="A228" s="35" t="n"/>
      <c r="B228" s="35" t="n"/>
      <c r="C228" s="36" t="n"/>
      <c r="D228" s="36" t="n"/>
      <c r="E228" s="35" t="n"/>
      <c r="F228" s="36" t="n"/>
    </row>
    <row r="229">
      <c r="A229" s="35" t="n"/>
      <c r="B229" s="35" t="n"/>
      <c r="C229" s="36" t="n"/>
      <c r="D229" s="36" t="n"/>
      <c r="E229" s="35" t="n"/>
      <c r="F229" s="36" t="n"/>
    </row>
    <row r="230">
      <c r="A230" s="35" t="n"/>
      <c r="B230" s="35" t="n"/>
      <c r="C230" s="36" t="n"/>
      <c r="D230" s="36" t="n"/>
      <c r="E230" s="35" t="n"/>
      <c r="F230" s="36" t="n"/>
    </row>
    <row r="231">
      <c r="A231" s="35" t="n"/>
      <c r="B231" s="35" t="n"/>
      <c r="C231" s="36" t="n"/>
      <c r="D231" s="36" t="n"/>
      <c r="E231" s="35" t="n"/>
      <c r="F231" s="36" t="n"/>
    </row>
    <row r="232">
      <c r="A232" s="35" t="n"/>
      <c r="B232" s="35" t="n"/>
      <c r="C232" s="36" t="n"/>
      <c r="D232" s="36" t="n"/>
      <c r="E232" s="35" t="n"/>
      <c r="F232" s="36" t="n"/>
    </row>
    <row r="233">
      <c r="A233" s="35" t="n"/>
      <c r="B233" s="35" t="n"/>
      <c r="C233" s="36" t="n"/>
      <c r="D233" s="36" t="n"/>
      <c r="E233" s="35" t="n"/>
      <c r="F233" s="36" t="n"/>
    </row>
    <row r="234">
      <c r="A234" s="35" t="n"/>
      <c r="B234" s="35" t="n"/>
      <c r="C234" s="36" t="n"/>
      <c r="D234" s="36" t="n"/>
      <c r="E234" s="35" t="n"/>
      <c r="F234" s="36" t="n"/>
    </row>
    <row r="235">
      <c r="A235" s="35" t="n"/>
      <c r="B235" s="35" t="n"/>
      <c r="C235" s="36" t="n"/>
      <c r="D235" s="36" t="n"/>
      <c r="E235" s="35" t="n"/>
      <c r="F235" s="36" t="n"/>
    </row>
    <row r="236">
      <c r="A236" s="35" t="n"/>
      <c r="B236" s="35" t="n"/>
      <c r="C236" s="36" t="n"/>
      <c r="D236" s="36" t="n"/>
      <c r="E236" s="35" t="n"/>
      <c r="F236" s="36" t="n"/>
    </row>
    <row r="237">
      <c r="A237" s="35" t="n"/>
      <c r="B237" s="35" t="n"/>
      <c r="C237" s="36" t="n"/>
      <c r="D237" s="36" t="n"/>
      <c r="E237" s="35" t="n"/>
      <c r="F237" s="36" t="n"/>
    </row>
    <row r="238">
      <c r="A238" s="35" t="n"/>
      <c r="B238" s="35" t="n"/>
      <c r="C238" s="36" t="n"/>
      <c r="D238" s="36" t="n"/>
      <c r="E238" s="35" t="n"/>
      <c r="F238" s="36" t="n"/>
    </row>
    <row r="239">
      <c r="A239" s="35" t="n"/>
      <c r="B239" s="35" t="n"/>
      <c r="C239" s="36" t="n"/>
      <c r="D239" s="36" t="n"/>
      <c r="E239" s="35" t="n"/>
      <c r="F239" s="36" t="n"/>
    </row>
    <row r="240">
      <c r="A240" s="35" t="n"/>
      <c r="B240" s="35" t="n"/>
      <c r="C240" s="36" t="n"/>
      <c r="D240" s="36" t="n"/>
      <c r="E240" s="35" t="n"/>
      <c r="F240" s="36" t="n"/>
    </row>
    <row r="241">
      <c r="A241" s="35" t="n"/>
      <c r="B241" s="35" t="n"/>
      <c r="C241" s="36" t="n"/>
      <c r="D241" s="36" t="n"/>
      <c r="E241" s="35" t="n"/>
      <c r="F241" s="36" t="n"/>
    </row>
    <row r="242">
      <c r="A242" s="35" t="n"/>
      <c r="B242" s="35" t="n"/>
      <c r="C242" s="36" t="n"/>
      <c r="D242" s="36" t="n"/>
      <c r="E242" s="35" t="n"/>
      <c r="F242" s="36" t="n"/>
    </row>
    <row r="243">
      <c r="A243" s="35" t="n"/>
      <c r="B243" s="35" t="n"/>
      <c r="C243" s="36" t="n"/>
      <c r="D243" s="36" t="n"/>
      <c r="E243" s="35" t="n"/>
      <c r="F243" s="36" t="n"/>
    </row>
    <row r="244">
      <c r="A244" s="35" t="n"/>
      <c r="B244" s="35" t="n"/>
      <c r="C244" s="36" t="n"/>
      <c r="D244" s="36" t="n"/>
      <c r="E244" s="35" t="n"/>
      <c r="F244" s="36" t="n"/>
    </row>
    <row r="245">
      <c r="A245" s="35" t="n"/>
      <c r="B245" s="35" t="n"/>
      <c r="C245" s="36" t="n"/>
      <c r="D245" s="36" t="n"/>
      <c r="E245" s="35" t="n"/>
      <c r="F245" s="36" t="n"/>
    </row>
    <row r="246">
      <c r="A246" s="35" t="n"/>
      <c r="B246" s="35" t="n"/>
      <c r="C246" s="36" t="n"/>
      <c r="D246" s="36" t="n"/>
      <c r="E246" s="35" t="n"/>
      <c r="F246" s="36" t="n"/>
    </row>
    <row r="247">
      <c r="A247" s="35" t="n"/>
      <c r="B247" s="35" t="n"/>
      <c r="C247" s="36" t="n"/>
      <c r="D247" s="36" t="n"/>
      <c r="E247" s="35" t="n"/>
      <c r="F247" s="36" t="n"/>
    </row>
    <row r="248">
      <c r="A248" s="35" t="n"/>
      <c r="B248" s="35" t="n"/>
      <c r="C248" s="36" t="n"/>
      <c r="D248" s="36" t="n"/>
      <c r="E248" s="35" t="n"/>
      <c r="F248" s="36" t="n"/>
    </row>
    <row r="249">
      <c r="A249" s="35" t="n"/>
      <c r="B249" s="35" t="n"/>
      <c r="C249" s="36" t="n"/>
      <c r="D249" s="36" t="n"/>
      <c r="E249" s="35" t="n"/>
      <c r="F249" s="36" t="n"/>
    </row>
    <row r="250">
      <c r="A250" s="35" t="n"/>
      <c r="B250" s="35" t="n"/>
      <c r="C250" s="36" t="n"/>
      <c r="D250" s="36" t="n"/>
      <c r="E250" s="35" t="n"/>
      <c r="F250" s="36" t="n"/>
    </row>
    <row r="251">
      <c r="A251" s="35" t="n"/>
      <c r="B251" s="35" t="n"/>
      <c r="C251" s="36" t="n"/>
      <c r="D251" s="36" t="n"/>
      <c r="E251" s="35" t="n"/>
      <c r="F251" s="36" t="n"/>
    </row>
    <row r="252">
      <c r="A252" s="35" t="n"/>
      <c r="B252" s="35" t="n"/>
      <c r="C252" s="36" t="n"/>
      <c r="D252" s="36" t="n"/>
      <c r="E252" s="35" t="n"/>
      <c r="F252" s="36" t="n"/>
    </row>
    <row r="253">
      <c r="A253" s="35" t="n"/>
      <c r="B253" s="35" t="n"/>
      <c r="C253" s="36" t="n"/>
      <c r="D253" s="36" t="n"/>
      <c r="E253" s="35" t="n"/>
      <c r="F253" s="36" t="n"/>
    </row>
    <row r="254">
      <c r="A254" s="35" t="n"/>
      <c r="B254" s="35" t="n"/>
      <c r="C254" s="36" t="n"/>
      <c r="D254" s="36" t="n"/>
      <c r="E254" s="35" t="n"/>
      <c r="F254" s="36" t="n"/>
    </row>
    <row r="255">
      <c r="A255" s="35" t="n"/>
      <c r="B255" s="35" t="n"/>
      <c r="C255" s="36" t="n"/>
      <c r="D255" s="36" t="n"/>
      <c r="E255" s="35" t="n"/>
      <c r="F255" s="36" t="n"/>
    </row>
    <row r="256">
      <c r="A256" s="35" t="n"/>
      <c r="B256" s="35" t="n"/>
      <c r="C256" s="36" t="n"/>
      <c r="D256" s="36" t="n"/>
      <c r="E256" s="35" t="n"/>
      <c r="F256" s="36" t="n"/>
    </row>
    <row r="257">
      <c r="A257" s="35" t="n"/>
      <c r="B257" s="35" t="n"/>
      <c r="C257" s="36" t="n"/>
      <c r="D257" s="36" t="n"/>
      <c r="E257" s="35" t="n"/>
      <c r="F257" s="36" t="n"/>
    </row>
    <row r="258">
      <c r="A258" s="35" t="n"/>
      <c r="B258" s="35" t="n"/>
      <c r="C258" s="36" t="n"/>
      <c r="D258" s="36" t="n"/>
      <c r="E258" s="35" t="n"/>
      <c r="F258" s="36" t="n"/>
    </row>
    <row r="259">
      <c r="A259" s="35" t="n"/>
      <c r="B259" s="35" t="n"/>
      <c r="C259" s="36" t="n"/>
      <c r="D259" s="36" t="n"/>
      <c r="E259" s="35" t="n"/>
      <c r="F259" s="36" t="n"/>
    </row>
    <row r="260">
      <c r="A260" s="35" t="n"/>
      <c r="B260" s="35" t="n"/>
      <c r="C260" s="36" t="n"/>
      <c r="D260" s="36" t="n"/>
      <c r="E260" s="35" t="n"/>
      <c r="F260" s="36" t="n"/>
    </row>
    <row r="261">
      <c r="A261" s="35" t="n"/>
      <c r="B261" s="35" t="n"/>
      <c r="C261" s="36" t="n"/>
      <c r="D261" s="36" t="n"/>
      <c r="E261" s="35" t="n"/>
      <c r="F261" s="36" t="n"/>
    </row>
    <row r="262">
      <c r="A262" s="35" t="n"/>
      <c r="B262" s="35" t="n"/>
      <c r="C262" s="36" t="n"/>
      <c r="D262" s="36" t="n"/>
      <c r="E262" s="35" t="n"/>
      <c r="F262" s="36" t="n"/>
    </row>
    <row r="263">
      <c r="A263" s="35" t="n"/>
      <c r="B263" s="35" t="n"/>
      <c r="C263" s="36" t="n"/>
      <c r="D263" s="36" t="n"/>
      <c r="E263" s="35" t="n"/>
      <c r="F263" s="36" t="n"/>
    </row>
    <row r="264">
      <c r="A264" s="35" t="n"/>
      <c r="B264" s="35" t="n"/>
      <c r="C264" s="36" t="n"/>
      <c r="D264" s="36" t="n"/>
      <c r="E264" s="35" t="n"/>
      <c r="F264" s="36" t="n"/>
    </row>
    <row r="265">
      <c r="A265" s="35" t="n"/>
      <c r="B265" s="35" t="n"/>
      <c r="C265" s="36" t="n"/>
      <c r="D265" s="36" t="n"/>
      <c r="E265" s="35" t="n"/>
      <c r="F265" s="36" t="n"/>
    </row>
    <row r="266">
      <c r="A266" s="35" t="n"/>
      <c r="B266" s="35" t="n"/>
      <c r="C266" s="36" t="n"/>
      <c r="D266" s="36" t="n"/>
      <c r="E266" s="35" t="n"/>
      <c r="F266" s="36" t="n"/>
    </row>
    <row r="267">
      <c r="A267" s="35" t="n"/>
      <c r="B267" s="35" t="n"/>
      <c r="C267" s="36" t="n"/>
      <c r="D267" s="36" t="n"/>
      <c r="E267" s="35" t="n"/>
      <c r="F267" s="36" t="n"/>
    </row>
    <row r="268">
      <c r="A268" s="35" t="n"/>
      <c r="B268" s="35" t="n"/>
      <c r="C268" s="36" t="n"/>
      <c r="D268" s="36" t="n"/>
      <c r="E268" s="35" t="n"/>
      <c r="F268" s="36" t="n"/>
    </row>
    <row r="269">
      <c r="A269" s="35" t="n"/>
      <c r="B269" s="35" t="n"/>
      <c r="C269" s="36" t="n"/>
      <c r="D269" s="36" t="n"/>
      <c r="E269" s="35" t="n"/>
      <c r="F269" s="36" t="n"/>
    </row>
    <row r="270">
      <c r="A270" s="35" t="n"/>
      <c r="B270" s="35" t="n"/>
      <c r="C270" s="36" t="n"/>
      <c r="D270" s="36" t="n"/>
      <c r="E270" s="35" t="n"/>
      <c r="F270" s="36" t="n"/>
    </row>
    <row r="271">
      <c r="A271" s="35" t="n"/>
      <c r="B271" s="35" t="n"/>
      <c r="C271" s="36" t="n"/>
      <c r="D271" s="36" t="n"/>
      <c r="E271" s="35" t="n"/>
      <c r="F271" s="36" t="n"/>
    </row>
    <row r="272">
      <c r="A272" s="35" t="n"/>
      <c r="B272" s="35" t="n"/>
      <c r="C272" s="36" t="n"/>
      <c r="D272" s="36" t="n"/>
      <c r="E272" s="35" t="n"/>
      <c r="F272" s="36" t="n"/>
    </row>
    <row r="273">
      <c r="A273" s="35" t="n"/>
      <c r="B273" s="35" t="n"/>
      <c r="C273" s="36" t="n"/>
      <c r="D273" s="36" t="n"/>
      <c r="E273" s="35" t="n"/>
      <c r="F273" s="36" t="n"/>
    </row>
    <row r="274">
      <c r="A274" s="35" t="n"/>
      <c r="B274" s="35" t="n"/>
      <c r="C274" s="36" t="n"/>
      <c r="D274" s="36" t="n"/>
      <c r="E274" s="35" t="n"/>
      <c r="F274" s="36" t="n"/>
    </row>
    <row r="275">
      <c r="A275" s="35" t="n"/>
      <c r="B275" s="35" t="n"/>
      <c r="C275" s="36" t="n"/>
      <c r="D275" s="36" t="n"/>
      <c r="E275" s="35" t="n"/>
      <c r="F275" s="36" t="n"/>
    </row>
    <row r="276">
      <c r="A276" s="35" t="n"/>
      <c r="B276" s="35" t="n"/>
      <c r="C276" s="36" t="n"/>
      <c r="D276" s="36" t="n"/>
      <c r="E276" s="35" t="n"/>
      <c r="F276" s="36" t="n"/>
    </row>
    <row r="277">
      <c r="A277" s="35" t="n"/>
      <c r="B277" s="35" t="n"/>
      <c r="C277" s="36" t="n"/>
      <c r="D277" s="36" t="n"/>
      <c r="E277" s="35" t="n"/>
      <c r="F277" s="36" t="n"/>
    </row>
    <row r="278">
      <c r="A278" s="35" t="n"/>
      <c r="B278" s="35" t="n"/>
      <c r="C278" s="36" t="n"/>
      <c r="D278" s="36" t="n"/>
      <c r="E278" s="35" t="n"/>
      <c r="F278" s="36" t="n"/>
    </row>
    <row r="279">
      <c r="A279" s="35" t="n"/>
      <c r="B279" s="35" t="n"/>
      <c r="C279" s="36" t="n"/>
      <c r="D279" s="36" t="n"/>
      <c r="E279" s="35" t="n"/>
      <c r="F279" s="36" t="n"/>
    </row>
    <row r="280">
      <c r="A280" s="35" t="n"/>
      <c r="B280" s="35" t="n"/>
      <c r="C280" s="36" t="n"/>
      <c r="D280" s="36" t="n"/>
      <c r="E280" s="35" t="n"/>
      <c r="F280" s="36" t="n"/>
    </row>
    <row r="281">
      <c r="A281" s="35" t="n"/>
      <c r="B281" s="35" t="n"/>
      <c r="C281" s="36" t="n"/>
      <c r="D281" s="36" t="n"/>
      <c r="E281" s="35" t="n"/>
      <c r="F281" s="36" t="n"/>
    </row>
    <row r="282">
      <c r="A282" s="35" t="n"/>
      <c r="B282" s="35" t="n"/>
      <c r="C282" s="36" t="n"/>
      <c r="D282" s="36" t="n"/>
      <c r="E282" s="35" t="n"/>
      <c r="F282" s="36" t="n"/>
    </row>
    <row r="283">
      <c r="A283" s="35" t="n"/>
      <c r="B283" s="35" t="n"/>
      <c r="C283" s="36" t="n"/>
      <c r="D283" s="36" t="n"/>
      <c r="E283" s="35" t="n"/>
      <c r="F283" s="36" t="n"/>
    </row>
    <row r="284">
      <c r="A284" s="35" t="n"/>
      <c r="B284" s="35" t="n"/>
      <c r="C284" s="36" t="n"/>
      <c r="D284" s="36" t="n"/>
      <c r="E284" s="35" t="n"/>
      <c r="F284" s="36" t="n"/>
    </row>
    <row r="285">
      <c r="A285" s="35" t="n"/>
      <c r="B285" s="35" t="n"/>
      <c r="C285" s="36" t="n"/>
      <c r="D285" s="36" t="n"/>
      <c r="E285" s="35" t="n"/>
      <c r="F285" s="36" t="n"/>
    </row>
    <row r="286">
      <c r="A286" s="35" t="n"/>
      <c r="B286" s="35" t="n"/>
      <c r="C286" s="36" t="n"/>
      <c r="D286" s="36" t="n"/>
      <c r="E286" s="35" t="n"/>
      <c r="F286" s="36" t="n"/>
    </row>
    <row r="287">
      <c r="A287" s="35" t="n"/>
      <c r="B287" s="35" t="n"/>
      <c r="C287" s="36" t="n"/>
      <c r="D287" s="36" t="n"/>
      <c r="E287" s="35" t="n"/>
      <c r="F287" s="36" t="n"/>
    </row>
    <row r="288">
      <c r="A288" s="35" t="n"/>
      <c r="B288" s="35" t="n"/>
      <c r="C288" s="36" t="n"/>
      <c r="D288" s="36" t="n"/>
      <c r="E288" s="35" t="n"/>
      <c r="F288" s="36" t="n"/>
    </row>
    <row r="289">
      <c r="A289" s="35" t="n"/>
      <c r="B289" s="35" t="n"/>
      <c r="C289" s="36" t="n"/>
      <c r="D289" s="36" t="n"/>
      <c r="E289" s="35" t="n"/>
      <c r="F289" s="36" t="n"/>
    </row>
    <row r="290">
      <c r="A290" s="35" t="n"/>
      <c r="B290" s="35" t="n"/>
      <c r="C290" s="36" t="n"/>
      <c r="D290" s="36" t="n"/>
      <c r="E290" s="35" t="n"/>
      <c r="F290" s="36" t="n"/>
    </row>
    <row r="291">
      <c r="A291" s="35" t="n"/>
      <c r="B291" s="35" t="n"/>
      <c r="C291" s="36" t="n"/>
      <c r="D291" s="36" t="n"/>
      <c r="E291" s="35" t="n"/>
      <c r="F291" s="36" t="n"/>
    </row>
    <row r="292">
      <c r="A292" s="35" t="n"/>
      <c r="B292" s="35" t="n"/>
      <c r="C292" s="36" t="n"/>
      <c r="D292" s="36" t="n"/>
      <c r="E292" s="35" t="n"/>
      <c r="F292" s="36" t="n"/>
    </row>
    <row r="293">
      <c r="A293" s="35" t="n"/>
      <c r="B293" s="35" t="n"/>
      <c r="C293" s="36" t="n"/>
      <c r="D293" s="36" t="n"/>
      <c r="E293" s="35" t="n"/>
      <c r="F293" s="36" t="n"/>
    </row>
    <row r="294">
      <c r="A294" s="35" t="n"/>
      <c r="B294" s="35" t="n"/>
      <c r="C294" s="36" t="n"/>
      <c r="D294" s="36" t="n"/>
      <c r="E294" s="35" t="n"/>
      <c r="F294" s="36" t="n"/>
    </row>
    <row r="295">
      <c r="A295" s="35" t="n"/>
      <c r="B295" s="35" t="n"/>
      <c r="C295" s="36" t="n"/>
      <c r="D295" s="36" t="n"/>
      <c r="E295" s="35" t="n"/>
      <c r="F295" s="36" t="n"/>
    </row>
    <row r="296">
      <c r="A296" s="35" t="n"/>
      <c r="B296" s="35" t="n"/>
      <c r="C296" s="36" t="n"/>
      <c r="D296" s="36" t="n"/>
      <c r="E296" s="35" t="n"/>
      <c r="F296" s="36" t="n"/>
    </row>
    <row r="297">
      <c r="A297" s="35" t="n"/>
      <c r="B297" s="35" t="n"/>
      <c r="C297" s="36" t="n"/>
      <c r="D297" s="36" t="n"/>
      <c r="E297" s="35" t="n"/>
      <c r="F297" s="36" t="n"/>
    </row>
    <row r="298">
      <c r="A298" s="35" t="n"/>
      <c r="B298" s="35" t="n"/>
      <c r="C298" s="36" t="n"/>
      <c r="D298" s="36" t="n"/>
      <c r="E298" s="35" t="n"/>
      <c r="F298" s="36" t="n"/>
    </row>
    <row r="299">
      <c r="A299" s="35" t="n"/>
      <c r="B299" s="35" t="n"/>
      <c r="C299" s="36" t="n"/>
      <c r="D299" s="36" t="n"/>
      <c r="E299" s="35" t="n"/>
      <c r="F299" s="36" t="n"/>
    </row>
    <row r="300">
      <c r="A300" s="35" t="n"/>
      <c r="B300" s="35" t="n"/>
      <c r="C300" s="36" t="n"/>
      <c r="D300" s="36" t="n"/>
      <c r="E300" s="35" t="n"/>
      <c r="F300" s="36" t="n"/>
    </row>
    <row r="301">
      <c r="A301" s="35" t="n"/>
      <c r="B301" s="35" t="n"/>
      <c r="C301" s="36" t="n"/>
      <c r="D301" s="36" t="n"/>
      <c r="E301" s="35" t="n"/>
      <c r="F301" s="36" t="n"/>
    </row>
    <row r="302">
      <c r="A302" s="35" t="n"/>
      <c r="B302" s="35" t="n"/>
      <c r="C302" s="36" t="n"/>
      <c r="D302" s="36" t="n"/>
      <c r="E302" s="35" t="n"/>
      <c r="F302" s="36" t="n"/>
    </row>
    <row r="303">
      <c r="A303" s="35" t="n"/>
      <c r="B303" s="35" t="n"/>
      <c r="C303" s="36" t="n"/>
      <c r="D303" s="36" t="n"/>
      <c r="E303" s="35" t="n"/>
      <c r="F303" s="36" t="n"/>
    </row>
    <row r="304">
      <c r="A304" s="35" t="n"/>
      <c r="B304" s="35" t="n"/>
      <c r="C304" s="36" t="n"/>
      <c r="D304" s="36" t="n"/>
      <c r="E304" s="35" t="n"/>
      <c r="F304" s="36" t="n"/>
    </row>
    <row r="305">
      <c r="A305" s="35" t="n"/>
      <c r="B305" s="35" t="n"/>
      <c r="C305" s="36" t="n"/>
      <c r="D305" s="36" t="n"/>
      <c r="E305" s="35" t="n"/>
      <c r="F305" s="36" t="n"/>
    </row>
    <row r="306">
      <c r="A306" s="35" t="n"/>
      <c r="B306" s="35" t="n"/>
      <c r="C306" s="36" t="n"/>
      <c r="D306" s="36" t="n"/>
      <c r="E306" s="35" t="n"/>
      <c r="F306" s="36" t="n"/>
    </row>
    <row r="307">
      <c r="A307" s="35" t="n"/>
      <c r="B307" s="35" t="n"/>
      <c r="C307" s="36" t="n"/>
      <c r="D307" s="36" t="n"/>
      <c r="E307" s="35" t="n"/>
      <c r="F307" s="36" t="n"/>
    </row>
    <row r="308">
      <c r="A308" s="35" t="n"/>
      <c r="B308" s="35" t="n"/>
      <c r="C308" s="36" t="n"/>
      <c r="D308" s="36" t="n"/>
      <c r="E308" s="35" t="n"/>
      <c r="F308" s="36" t="n"/>
    </row>
    <row r="309">
      <c r="A309" s="35" t="n"/>
      <c r="B309" s="35" t="n"/>
      <c r="C309" s="36" t="n"/>
      <c r="D309" s="36" t="n"/>
      <c r="E309" s="35" t="n"/>
      <c r="F309" s="36" t="n"/>
    </row>
    <row r="310">
      <c r="A310" s="35" t="n"/>
      <c r="B310" s="35" t="n"/>
      <c r="C310" s="36" t="n"/>
      <c r="D310" s="36" t="n"/>
      <c r="E310" s="35" t="n"/>
      <c r="F310" s="36" t="n"/>
    </row>
    <row r="311">
      <c r="A311" s="35" t="n"/>
      <c r="B311" s="35" t="n"/>
      <c r="C311" s="36" t="n"/>
      <c r="D311" s="36" t="n"/>
      <c r="E311" s="35" t="n"/>
      <c r="F311" s="36" t="n"/>
    </row>
    <row r="312">
      <c r="A312" s="35" t="n"/>
      <c r="B312" s="35" t="n"/>
      <c r="C312" s="36" t="n"/>
      <c r="D312" s="36" t="n"/>
      <c r="E312" s="35" t="n"/>
      <c r="F312" s="36" t="n"/>
    </row>
    <row r="313">
      <c r="A313" s="35" t="n"/>
      <c r="B313" s="35" t="n"/>
      <c r="C313" s="36" t="n"/>
      <c r="D313" s="36" t="n"/>
      <c r="E313" s="35" t="n"/>
      <c r="F313" s="36" t="n"/>
    </row>
    <row r="314">
      <c r="A314" s="35" t="n"/>
      <c r="B314" s="35" t="n"/>
      <c r="C314" s="36" t="n"/>
      <c r="D314" s="36" t="n"/>
      <c r="E314" s="35" t="n"/>
      <c r="F314" s="36" t="n"/>
    </row>
    <row r="315">
      <c r="A315" s="35" t="n"/>
      <c r="B315" s="35" t="n"/>
      <c r="C315" s="36" t="n"/>
      <c r="D315" s="36" t="n"/>
      <c r="E315" s="35" t="n"/>
      <c r="F315" s="36" t="n"/>
    </row>
    <row r="316">
      <c r="A316" s="35" t="n"/>
      <c r="B316" s="35" t="n"/>
      <c r="C316" s="36" t="n"/>
      <c r="D316" s="36" t="n"/>
      <c r="E316" s="35" t="n"/>
      <c r="F316" s="36" t="n"/>
    </row>
    <row r="317">
      <c r="A317" s="35" t="n"/>
      <c r="B317" s="35" t="n"/>
      <c r="C317" s="36" t="n"/>
      <c r="D317" s="36" t="n"/>
      <c r="E317" s="35" t="n"/>
      <c r="F317" s="36" t="n"/>
    </row>
    <row r="318">
      <c r="A318" s="35" t="n"/>
      <c r="B318" s="35" t="n"/>
      <c r="C318" s="36" t="n"/>
      <c r="D318" s="36" t="n"/>
      <c r="E318" s="35" t="n"/>
      <c r="F318" s="36" t="n"/>
    </row>
    <row r="319">
      <c r="A319" s="35" t="n"/>
      <c r="B319" s="35" t="n"/>
      <c r="C319" s="36" t="n"/>
      <c r="D319" s="36" t="n"/>
      <c r="E319" s="35" t="n"/>
      <c r="F319" s="36" t="n"/>
    </row>
    <row r="320">
      <c r="A320" s="35" t="n"/>
      <c r="B320" s="35" t="n"/>
      <c r="C320" s="36" t="n"/>
      <c r="D320" s="36" t="n"/>
      <c r="E320" s="35" t="n"/>
      <c r="F320" s="36" t="n"/>
    </row>
    <row r="321">
      <c r="A321" s="35" t="n"/>
      <c r="B321" s="35" t="n"/>
      <c r="C321" s="36" t="n"/>
      <c r="D321" s="36" t="n"/>
      <c r="E321" s="35" t="n"/>
      <c r="F321" s="36" t="n"/>
    </row>
    <row r="322">
      <c r="A322" s="35" t="n"/>
      <c r="B322" s="35" t="n"/>
      <c r="C322" s="36" t="n"/>
      <c r="D322" s="36" t="n"/>
      <c r="E322" s="35" t="n"/>
      <c r="F322" s="36" t="n"/>
    </row>
    <row r="323">
      <c r="A323" s="35" t="n"/>
      <c r="B323" s="35" t="n"/>
      <c r="C323" s="36" t="n"/>
      <c r="D323" s="36" t="n"/>
      <c r="E323" s="35" t="n"/>
      <c r="F323" s="36" t="n"/>
    </row>
    <row r="324">
      <c r="A324" s="35" t="n"/>
      <c r="B324" s="35" t="n"/>
      <c r="C324" s="36" t="n"/>
      <c r="D324" s="36" t="n"/>
      <c r="E324" s="35" t="n"/>
      <c r="F324" s="36" t="n"/>
    </row>
    <row r="325">
      <c r="A325" s="35" t="n"/>
      <c r="B325" s="35" t="n"/>
      <c r="C325" s="36" t="n"/>
      <c r="D325" s="36" t="n"/>
      <c r="E325" s="35" t="n"/>
      <c r="F325" s="36" t="n"/>
    </row>
    <row r="326">
      <c r="A326" s="35" t="n"/>
      <c r="B326" s="35" t="n"/>
      <c r="C326" s="36" t="n"/>
      <c r="D326" s="36" t="n"/>
      <c r="E326" s="35" t="n"/>
      <c r="F326" s="36" t="n"/>
    </row>
    <row r="327">
      <c r="A327" s="35" t="n"/>
      <c r="B327" s="35" t="n"/>
      <c r="C327" s="36" t="n"/>
      <c r="D327" s="36" t="n"/>
      <c r="E327" s="35" t="n"/>
      <c r="F327" s="36" t="n"/>
    </row>
    <row r="328">
      <c r="A328" s="35" t="n"/>
      <c r="B328" s="35" t="n"/>
      <c r="C328" s="36" t="n"/>
      <c r="D328" s="36" t="n"/>
      <c r="E328" s="35" t="n"/>
      <c r="F328" s="36" t="n"/>
    </row>
    <row r="329">
      <c r="A329" s="35" t="n"/>
      <c r="B329" s="35" t="n"/>
      <c r="C329" s="36" t="n"/>
      <c r="D329" s="36" t="n"/>
      <c r="E329" s="35" t="n"/>
      <c r="F329" s="36" t="n"/>
    </row>
    <row r="330">
      <c r="A330" s="35" t="n"/>
      <c r="B330" s="35" t="n"/>
      <c r="C330" s="36" t="n"/>
      <c r="D330" s="36" t="n"/>
      <c r="E330" s="35" t="n"/>
      <c r="F330" s="36" t="n"/>
    </row>
    <row r="331">
      <c r="A331" s="35" t="n"/>
      <c r="B331" s="35" t="n"/>
      <c r="C331" s="36" t="n"/>
      <c r="D331" s="36" t="n"/>
      <c r="E331" s="35" t="n"/>
      <c r="F331" s="36" t="n"/>
    </row>
    <row r="332">
      <c r="A332" s="35" t="n"/>
      <c r="B332" s="35" t="n"/>
      <c r="C332" s="36" t="n"/>
      <c r="D332" s="36" t="n"/>
      <c r="E332" s="35" t="n"/>
      <c r="F332" s="36" t="n"/>
    </row>
    <row r="333">
      <c r="A333" s="35" t="n"/>
      <c r="B333" s="35" t="n"/>
      <c r="C333" s="36" t="n"/>
      <c r="D333" s="36" t="n"/>
      <c r="E333" s="35" t="n"/>
      <c r="F333" s="36" t="n"/>
    </row>
    <row r="334">
      <c r="A334" s="35" t="n"/>
      <c r="B334" s="35" t="n"/>
      <c r="C334" s="36" t="n"/>
      <c r="D334" s="36" t="n"/>
      <c r="E334" s="35" t="n"/>
      <c r="F334" s="36" t="n"/>
    </row>
    <row r="335">
      <c r="A335" s="35" t="n"/>
      <c r="B335" s="35" t="n"/>
      <c r="C335" s="36" t="n"/>
      <c r="D335" s="36" t="n"/>
      <c r="E335" s="35" t="n"/>
      <c r="F335" s="36" t="n"/>
    </row>
    <row r="336">
      <c r="A336" s="35" t="n"/>
      <c r="B336" s="35" t="n"/>
      <c r="C336" s="36" t="n"/>
      <c r="D336" s="36" t="n"/>
      <c r="E336" s="35" t="n"/>
      <c r="F336" s="36" t="n"/>
    </row>
    <row r="337">
      <c r="A337" s="35" t="n"/>
      <c r="B337" s="35" t="n"/>
      <c r="C337" s="36" t="n"/>
      <c r="D337" s="36" t="n"/>
      <c r="E337" s="35" t="n"/>
      <c r="F337" s="36" t="n"/>
    </row>
    <row r="338">
      <c r="A338" s="35" t="n"/>
      <c r="B338" s="35" t="n"/>
      <c r="C338" s="36" t="n"/>
      <c r="D338" s="36" t="n"/>
      <c r="E338" s="35" t="n"/>
      <c r="F338" s="36" t="n"/>
    </row>
    <row r="339">
      <c r="A339" s="35" t="n"/>
      <c r="B339" s="35" t="n"/>
      <c r="C339" s="36" t="n"/>
      <c r="D339" s="36" t="n"/>
      <c r="E339" s="35" t="n"/>
      <c r="F339" s="36" t="n"/>
    </row>
    <row r="340">
      <c r="A340" s="35" t="n"/>
      <c r="B340" s="35" t="n"/>
      <c r="C340" s="36" t="n"/>
      <c r="D340" s="36" t="n"/>
      <c r="E340" s="35" t="n"/>
      <c r="F340" s="36" t="n"/>
    </row>
    <row r="341">
      <c r="A341" s="35" t="n"/>
      <c r="B341" s="35" t="n"/>
      <c r="C341" s="36" t="n"/>
      <c r="D341" s="36" t="n"/>
      <c r="E341" s="35" t="n"/>
      <c r="F341" s="36" t="n"/>
    </row>
    <row r="342">
      <c r="A342" s="35" t="n"/>
      <c r="B342" s="35" t="n"/>
      <c r="C342" s="36" t="n"/>
      <c r="D342" s="36" t="n"/>
      <c r="E342" s="35" t="n"/>
      <c r="F342" s="36" t="n"/>
    </row>
    <row r="343">
      <c r="A343" s="35" t="n"/>
      <c r="B343" s="35" t="n"/>
      <c r="C343" s="36" t="n"/>
      <c r="D343" s="36" t="n"/>
      <c r="E343" s="35" t="n"/>
      <c r="F343" s="36" t="n"/>
    </row>
    <row r="344">
      <c r="A344" s="35" t="n"/>
      <c r="B344" s="35" t="n"/>
      <c r="C344" s="36" t="n"/>
      <c r="D344" s="36" t="n"/>
      <c r="E344" s="35" t="n"/>
      <c r="F344" s="36" t="n"/>
    </row>
    <row r="345">
      <c r="A345" s="35" t="n"/>
      <c r="B345" s="35" t="n"/>
      <c r="C345" s="36" t="n"/>
      <c r="D345" s="36" t="n"/>
      <c r="E345" s="35" t="n"/>
      <c r="F345" s="36" t="n"/>
    </row>
    <row r="346">
      <c r="A346" s="35" t="n"/>
      <c r="B346" s="35" t="n"/>
      <c r="C346" s="36" t="n"/>
      <c r="D346" s="36" t="n"/>
      <c r="E346" s="35" t="n"/>
      <c r="F346" s="36" t="n"/>
    </row>
    <row r="347">
      <c r="A347" s="35" t="n"/>
      <c r="B347" s="35" t="n"/>
      <c r="C347" s="36" t="n"/>
      <c r="D347" s="36" t="n"/>
      <c r="E347" s="35" t="n"/>
      <c r="F347" s="36" t="n"/>
    </row>
    <row r="348">
      <c r="A348" s="35" t="n"/>
      <c r="B348" s="35" t="n"/>
      <c r="C348" s="36" t="n"/>
      <c r="D348" s="36" t="n"/>
      <c r="E348" s="35" t="n"/>
      <c r="F348" s="36" t="n"/>
    </row>
    <row r="349">
      <c r="A349" s="35" t="n"/>
      <c r="B349" s="35" t="n"/>
      <c r="C349" s="36" t="n"/>
      <c r="D349" s="36" t="n"/>
      <c r="E349" s="35" t="n"/>
      <c r="F349" s="36" t="n"/>
    </row>
    <row r="350">
      <c r="A350" s="35" t="n"/>
      <c r="B350" s="35" t="n"/>
      <c r="C350" s="36" t="n"/>
      <c r="D350" s="36" t="n"/>
      <c r="E350" s="35" t="n"/>
      <c r="F350" s="36" t="n"/>
    </row>
    <row r="351">
      <c r="A351" s="35" t="n"/>
      <c r="B351" s="35" t="n"/>
      <c r="C351" s="36" t="n"/>
      <c r="D351" s="36" t="n"/>
      <c r="E351" s="35" t="n"/>
      <c r="F351" s="36" t="n"/>
    </row>
    <row r="352">
      <c r="A352" s="35" t="n"/>
      <c r="B352" s="35" t="n"/>
      <c r="C352" s="36" t="n"/>
      <c r="D352" s="36" t="n"/>
      <c r="E352" s="35" t="n"/>
      <c r="F352" s="36" t="n"/>
    </row>
    <row r="353">
      <c r="A353" s="35" t="n"/>
      <c r="B353" s="35" t="n"/>
      <c r="C353" s="36" t="n"/>
      <c r="D353" s="36" t="n"/>
      <c r="E353" s="35" t="n"/>
      <c r="F353" s="36" t="n"/>
    </row>
    <row r="354">
      <c r="A354" s="35" t="n"/>
      <c r="B354" s="35" t="n"/>
      <c r="C354" s="36" t="n"/>
      <c r="D354" s="36" t="n"/>
      <c r="E354" s="35" t="n"/>
      <c r="F354" s="36" t="n"/>
    </row>
    <row r="355">
      <c r="A355" s="35" t="n"/>
      <c r="B355" s="35" t="n"/>
      <c r="C355" s="36" t="n"/>
      <c r="D355" s="36" t="n"/>
      <c r="E355" s="35" t="n"/>
      <c r="F355" s="36" t="n"/>
    </row>
    <row r="356">
      <c r="A356" s="35" t="n"/>
      <c r="B356" s="35" t="n"/>
      <c r="C356" s="36" t="n"/>
      <c r="D356" s="36" t="n"/>
      <c r="E356" s="35" t="n"/>
      <c r="F356" s="36" t="n"/>
    </row>
    <row r="357">
      <c r="A357" s="35" t="n"/>
      <c r="B357" s="35" t="n"/>
      <c r="C357" s="36" t="n"/>
      <c r="D357" s="36" t="n"/>
      <c r="E357" s="35" t="n"/>
      <c r="F357" s="36" t="n"/>
    </row>
    <row r="358">
      <c r="A358" s="35" t="n"/>
      <c r="B358" s="35" t="n"/>
      <c r="C358" s="36" t="n"/>
      <c r="D358" s="36" t="n"/>
      <c r="E358" s="35" t="n"/>
      <c r="F358" s="36" t="n"/>
    </row>
    <row r="359">
      <c r="A359" s="35" t="n"/>
      <c r="B359" s="35" t="n"/>
      <c r="C359" s="36" t="n"/>
      <c r="D359" s="36" t="n"/>
      <c r="E359" s="35" t="n"/>
      <c r="F359" s="36" t="n"/>
    </row>
    <row r="360">
      <c r="A360" s="35" t="n"/>
      <c r="B360" s="35" t="n"/>
      <c r="C360" s="36" t="n"/>
      <c r="D360" s="36" t="n"/>
      <c r="E360" s="35" t="n"/>
      <c r="F360" s="36" t="n"/>
    </row>
    <row r="361">
      <c r="A361" s="35" t="n"/>
      <c r="B361" s="35" t="n"/>
      <c r="C361" s="36" t="n"/>
      <c r="D361" s="36" t="n"/>
      <c r="E361" s="35" t="n"/>
      <c r="F361" s="36" t="n"/>
    </row>
    <row r="362">
      <c r="A362" s="35" t="n"/>
      <c r="B362" s="35" t="n"/>
      <c r="C362" s="36" t="n"/>
      <c r="D362" s="36" t="n"/>
      <c r="E362" s="35" t="n"/>
      <c r="F362" s="36" t="n"/>
    </row>
    <row r="363">
      <c r="A363" s="35" t="n"/>
      <c r="B363" s="35" t="n"/>
      <c r="C363" s="36" t="n"/>
      <c r="D363" s="36" t="n"/>
      <c r="E363" s="35" t="n"/>
      <c r="F363" s="36" t="n"/>
    </row>
    <row r="364">
      <c r="A364" s="35" t="n"/>
      <c r="B364" s="35" t="n"/>
      <c r="C364" s="36" t="n"/>
      <c r="D364" s="36" t="n"/>
      <c r="E364" s="35" t="n"/>
      <c r="F364" s="36" t="n"/>
    </row>
    <row r="365">
      <c r="A365" s="35" t="n"/>
      <c r="B365" s="35" t="n"/>
      <c r="C365" s="36" t="n"/>
      <c r="D365" s="36" t="n"/>
      <c r="E365" s="35" t="n"/>
      <c r="F365" s="36" t="n"/>
    </row>
    <row r="366">
      <c r="A366" s="35" t="n"/>
      <c r="B366" s="35" t="n"/>
      <c r="C366" s="36" t="n"/>
      <c r="D366" s="36" t="n"/>
      <c r="E366" s="35" t="n"/>
      <c r="F366" s="36" t="n"/>
    </row>
    <row r="367">
      <c r="A367" s="35" t="n"/>
      <c r="B367" s="35" t="n"/>
      <c r="C367" s="36" t="n"/>
      <c r="D367" s="36" t="n"/>
      <c r="E367" s="35" t="n"/>
      <c r="F367" s="36" t="n"/>
    </row>
    <row r="368">
      <c r="A368" s="35" t="n"/>
      <c r="B368" s="35" t="n"/>
      <c r="C368" s="36" t="n"/>
      <c r="D368" s="36" t="n"/>
      <c r="E368" s="35" t="n"/>
      <c r="F368" s="36" t="n"/>
    </row>
    <row r="369">
      <c r="A369" s="35" t="n"/>
      <c r="B369" s="35" t="n"/>
      <c r="C369" s="36" t="n"/>
      <c r="D369" s="36" t="n"/>
      <c r="E369" s="35" t="n"/>
      <c r="F369" s="36" t="n"/>
    </row>
    <row r="370">
      <c r="A370" s="35" t="n"/>
      <c r="B370" s="35" t="n"/>
      <c r="C370" s="36" t="n"/>
      <c r="D370" s="36" t="n"/>
      <c r="E370" s="35" t="n"/>
      <c r="F370" s="36" t="n"/>
    </row>
    <row r="371">
      <c r="A371" s="35" t="n"/>
      <c r="B371" s="35" t="n"/>
      <c r="C371" s="36" t="n"/>
      <c r="D371" s="36" t="n"/>
      <c r="E371" s="35" t="n"/>
      <c r="F371" s="36" t="n"/>
    </row>
    <row r="372">
      <c r="A372" s="35" t="n"/>
      <c r="B372" s="35" t="n"/>
      <c r="C372" s="36" t="n"/>
      <c r="D372" s="36" t="n"/>
      <c r="E372" s="35" t="n"/>
      <c r="F372" s="36" t="n"/>
    </row>
    <row r="373">
      <c r="A373" s="35" t="n"/>
      <c r="B373" s="35" t="n"/>
      <c r="C373" s="36" t="n"/>
      <c r="D373" s="36" t="n"/>
      <c r="E373" s="35" t="n"/>
      <c r="F373" s="36" t="n"/>
    </row>
    <row r="374">
      <c r="A374" s="35" t="n"/>
      <c r="B374" s="35" t="n"/>
      <c r="C374" s="36" t="n"/>
      <c r="D374" s="36" t="n"/>
      <c r="E374" s="35" t="n"/>
      <c r="F374" s="36" t="n"/>
    </row>
    <row r="375">
      <c r="A375" s="35" t="n"/>
      <c r="B375" s="35" t="n"/>
      <c r="C375" s="36" t="n"/>
      <c r="D375" s="36" t="n"/>
      <c r="E375" s="35" t="n"/>
      <c r="F375" s="36" t="n"/>
    </row>
    <row r="376">
      <c r="A376" s="35" t="n"/>
      <c r="B376" s="35" t="n"/>
      <c r="C376" s="36" t="n"/>
      <c r="D376" s="36" t="n"/>
      <c r="E376" s="35" t="n"/>
      <c r="F376" s="36" t="n"/>
    </row>
    <row r="377">
      <c r="A377" s="35" t="n"/>
      <c r="B377" s="35" t="n"/>
      <c r="C377" s="36" t="n"/>
      <c r="D377" s="36" t="n"/>
      <c r="E377" s="35" t="n"/>
      <c r="F377" s="36" t="n"/>
    </row>
    <row r="378">
      <c r="A378" s="35" t="n"/>
      <c r="B378" s="35" t="n"/>
      <c r="C378" s="36" t="n"/>
      <c r="D378" s="36" t="n"/>
      <c r="E378" s="35" t="n"/>
      <c r="F378" s="36" t="n"/>
    </row>
    <row r="379">
      <c r="A379" s="35" t="n"/>
      <c r="B379" s="35" t="n"/>
      <c r="C379" s="36" t="n"/>
      <c r="D379" s="36" t="n"/>
      <c r="E379" s="35" t="n"/>
      <c r="F379" s="36" t="n"/>
    </row>
    <row r="380">
      <c r="A380" s="35" t="n"/>
      <c r="B380" s="35" t="n"/>
      <c r="C380" s="36" t="n"/>
      <c r="D380" s="36" t="n"/>
      <c r="E380" s="35" t="n"/>
      <c r="F380" s="36" t="n"/>
    </row>
    <row r="381">
      <c r="A381" s="35" t="n"/>
      <c r="B381" s="35" t="n"/>
      <c r="C381" s="36" t="n"/>
      <c r="D381" s="36" t="n"/>
      <c r="E381" s="35" t="n"/>
      <c r="F381" s="36" t="n"/>
    </row>
    <row r="382">
      <c r="A382" s="35" t="n"/>
      <c r="B382" s="35" t="n"/>
      <c r="C382" s="36" t="n"/>
      <c r="D382" s="36" t="n"/>
      <c r="E382" s="35" t="n"/>
      <c r="F382" s="36" t="n"/>
    </row>
    <row r="383">
      <c r="A383" s="35" t="n"/>
      <c r="B383" s="35" t="n"/>
      <c r="C383" s="36" t="n"/>
      <c r="D383" s="36" t="n"/>
      <c r="E383" s="35" t="n"/>
      <c r="F383" s="36" t="n"/>
    </row>
    <row r="384">
      <c r="A384" s="35" t="n"/>
      <c r="B384" s="35" t="n"/>
      <c r="C384" s="36" t="n"/>
      <c r="D384" s="36" t="n"/>
      <c r="E384" s="35" t="n"/>
      <c r="F384" s="36" t="n"/>
    </row>
    <row r="385">
      <c r="A385" s="35" t="n"/>
      <c r="B385" s="35" t="n"/>
      <c r="C385" s="36" t="n"/>
      <c r="D385" s="36" t="n"/>
      <c r="E385" s="35" t="n"/>
      <c r="F385" s="36" t="n"/>
    </row>
    <row r="386">
      <c r="A386" s="35" t="n"/>
      <c r="B386" s="35" t="n"/>
      <c r="C386" s="36" t="n"/>
      <c r="D386" s="36" t="n"/>
      <c r="E386" s="35" t="n"/>
      <c r="F386" s="36" t="n"/>
    </row>
    <row r="387">
      <c r="A387" s="35" t="n"/>
      <c r="B387" s="35" t="n"/>
      <c r="C387" s="36" t="n"/>
      <c r="D387" s="36" t="n"/>
      <c r="E387" s="35" t="n"/>
      <c r="F387" s="36" t="n"/>
    </row>
    <row r="388">
      <c r="A388" s="35" t="n"/>
      <c r="B388" s="35" t="n"/>
      <c r="C388" s="36" t="n"/>
      <c r="D388" s="36" t="n"/>
      <c r="E388" s="35" t="n"/>
      <c r="F388" s="36" t="n"/>
    </row>
    <row r="389">
      <c r="A389" s="35" t="n"/>
      <c r="B389" s="35" t="n"/>
      <c r="C389" s="36" t="n"/>
      <c r="D389" s="36" t="n"/>
      <c r="E389" s="35" t="n"/>
      <c r="F389" s="36" t="n"/>
    </row>
    <row r="390">
      <c r="A390" s="35" t="n"/>
      <c r="B390" s="35" t="n"/>
      <c r="C390" s="36" t="n"/>
      <c r="D390" s="36" t="n"/>
      <c r="E390" s="35" t="n"/>
      <c r="F390" s="36" t="n"/>
    </row>
    <row r="391">
      <c r="A391" s="35" t="n"/>
      <c r="B391" s="35" t="n"/>
      <c r="C391" s="36" t="n"/>
      <c r="D391" s="36" t="n"/>
      <c r="E391" s="35" t="n"/>
      <c r="F391" s="36" t="n"/>
    </row>
    <row r="392">
      <c r="A392" s="35" t="n"/>
      <c r="B392" s="35" t="n"/>
      <c r="C392" s="36" t="n"/>
      <c r="D392" s="36" t="n"/>
      <c r="E392" s="35" t="n"/>
      <c r="F392" s="36" t="n"/>
    </row>
    <row r="393">
      <c r="A393" s="35" t="n"/>
      <c r="B393" s="35" t="n"/>
      <c r="C393" s="36" t="n"/>
      <c r="D393" s="36" t="n"/>
      <c r="E393" s="35" t="n"/>
      <c r="F393" s="36" t="n"/>
    </row>
    <row r="394">
      <c r="A394" s="35" t="n"/>
      <c r="B394" s="35" t="n"/>
      <c r="C394" s="36" t="n"/>
      <c r="D394" s="36" t="n"/>
      <c r="E394" s="35" t="n"/>
      <c r="F394" s="36" t="n"/>
    </row>
    <row r="395">
      <c r="A395" s="35" t="n"/>
      <c r="B395" s="35" t="n"/>
      <c r="C395" s="36" t="n"/>
      <c r="D395" s="36" t="n"/>
      <c r="E395" s="35" t="n"/>
      <c r="F395" s="36" t="n"/>
    </row>
    <row r="396">
      <c r="A396" s="35" t="n"/>
      <c r="B396" s="35" t="n"/>
      <c r="C396" s="36" t="n"/>
      <c r="D396" s="36" t="n"/>
      <c r="E396" s="35" t="n"/>
      <c r="F396" s="36" t="n"/>
    </row>
    <row r="397">
      <c r="A397" s="35" t="n"/>
      <c r="B397" s="35" t="n"/>
      <c r="C397" s="36" t="n"/>
      <c r="D397" s="36" t="n"/>
      <c r="E397" s="35" t="n"/>
      <c r="F397" s="36" t="n"/>
    </row>
    <row r="398">
      <c r="A398" s="35" t="n"/>
      <c r="B398" s="35" t="n"/>
      <c r="C398" s="36" t="n"/>
      <c r="D398" s="36" t="n"/>
      <c r="E398" s="35" t="n"/>
      <c r="F398" s="36" t="n"/>
    </row>
    <row r="399">
      <c r="A399" s="35" t="n"/>
      <c r="B399" s="35" t="n"/>
      <c r="C399" s="36" t="n"/>
      <c r="D399" s="36" t="n"/>
      <c r="E399" s="35" t="n"/>
      <c r="F399" s="36" t="n"/>
    </row>
    <row r="400">
      <c r="A400" s="35" t="n"/>
      <c r="B400" s="35" t="n"/>
      <c r="C400" s="36" t="n"/>
      <c r="D400" s="36" t="n"/>
      <c r="E400" s="35" t="n"/>
      <c r="F400" s="36" t="n"/>
    </row>
    <row r="401">
      <c r="A401" s="35" t="n"/>
      <c r="B401" s="35" t="n"/>
      <c r="C401" s="36" t="n"/>
      <c r="D401" s="36" t="n"/>
      <c r="E401" s="35" t="n"/>
      <c r="F401" s="36" t="n"/>
    </row>
    <row r="402">
      <c r="A402" s="35" t="n"/>
      <c r="B402" s="35" t="n"/>
      <c r="C402" s="36" t="n"/>
      <c r="D402" s="36" t="n"/>
      <c r="E402" s="35" t="n"/>
      <c r="F402" s="36" t="n"/>
    </row>
    <row r="403">
      <c r="A403" s="35" t="n"/>
      <c r="B403" s="35" t="n"/>
      <c r="C403" s="36" t="n"/>
      <c r="D403" s="36" t="n"/>
      <c r="E403" s="35" t="n"/>
      <c r="F403" s="36" t="n"/>
    </row>
    <row r="404">
      <c r="A404" s="35" t="n"/>
      <c r="B404" s="35" t="n"/>
      <c r="C404" s="36" t="n"/>
      <c r="D404" s="36" t="n"/>
      <c r="E404" s="35" t="n"/>
      <c r="F404" s="36" t="n"/>
    </row>
    <row r="405">
      <c r="A405" s="35" t="n"/>
      <c r="B405" s="35" t="n"/>
      <c r="C405" s="36" t="n"/>
      <c r="D405" s="36" t="n"/>
      <c r="E405" s="35" t="n"/>
      <c r="F405" s="36" t="n"/>
    </row>
    <row r="406">
      <c r="A406" s="35" t="n"/>
      <c r="B406" s="35" t="n"/>
      <c r="C406" s="36" t="n"/>
      <c r="D406" s="36" t="n"/>
      <c r="E406" s="35" t="n"/>
      <c r="F406" s="36" t="n"/>
    </row>
    <row r="407">
      <c r="A407" s="35" t="n"/>
      <c r="B407" s="35" t="n"/>
      <c r="C407" s="36" t="n"/>
      <c r="D407" s="36" t="n"/>
      <c r="E407" s="35" t="n"/>
      <c r="F407" s="36" t="n"/>
    </row>
    <row r="408">
      <c r="A408" s="35" t="n"/>
      <c r="B408" s="35" t="n"/>
      <c r="C408" s="36" t="n"/>
      <c r="D408" s="36" t="n"/>
      <c r="E408" s="35" t="n"/>
      <c r="F408" s="36" t="n"/>
    </row>
    <row r="409">
      <c r="A409" s="35" t="n"/>
      <c r="B409" s="35" t="n"/>
      <c r="C409" s="36" t="n"/>
      <c r="D409" s="36" t="n"/>
      <c r="E409" s="35" t="n"/>
      <c r="F409" s="36" t="n"/>
    </row>
    <row r="410">
      <c r="A410" s="35" t="n"/>
      <c r="B410" s="35" t="n"/>
      <c r="C410" s="36" t="n"/>
      <c r="D410" s="36" t="n"/>
      <c r="E410" s="35" t="n"/>
      <c r="F410" s="36" t="n"/>
    </row>
    <row r="411">
      <c r="A411" s="35" t="n"/>
      <c r="B411" s="35" t="n"/>
      <c r="C411" s="36" t="n"/>
      <c r="D411" s="36" t="n"/>
      <c r="E411" s="35" t="n"/>
      <c r="F411" s="36" t="n"/>
    </row>
    <row r="412">
      <c r="A412" s="35" t="n"/>
      <c r="B412" s="35" t="n"/>
      <c r="C412" s="36" t="n"/>
      <c r="D412" s="36" t="n"/>
      <c r="E412" s="35" t="n"/>
      <c r="F412" s="36" t="n"/>
    </row>
    <row r="413">
      <c r="A413" s="35" t="n"/>
      <c r="B413" s="35" t="n"/>
      <c r="C413" s="36" t="n"/>
      <c r="D413" s="36" t="n"/>
      <c r="E413" s="35" t="n"/>
      <c r="F413" s="36" t="n"/>
    </row>
    <row r="414">
      <c r="A414" s="35" t="n"/>
      <c r="B414" s="35" t="n"/>
      <c r="C414" s="36" t="n"/>
      <c r="D414" s="36" t="n"/>
      <c r="E414" s="35" t="n"/>
      <c r="F414" s="36" t="n"/>
    </row>
    <row r="415">
      <c r="A415" s="35" t="n"/>
      <c r="B415" s="35" t="n"/>
      <c r="C415" s="36" t="n"/>
      <c r="D415" s="36" t="n"/>
      <c r="E415" s="35" t="n"/>
      <c r="F415" s="36" t="n"/>
    </row>
    <row r="416">
      <c r="A416" s="35" t="n"/>
      <c r="B416" s="35" t="n"/>
      <c r="C416" s="36" t="n"/>
      <c r="D416" s="36" t="n"/>
      <c r="E416" s="35" t="n"/>
      <c r="F416" s="36" t="n"/>
    </row>
    <row r="417">
      <c r="A417" s="35" t="n"/>
      <c r="B417" s="35" t="n"/>
      <c r="C417" s="36" t="n"/>
      <c r="D417" s="36" t="n"/>
      <c r="E417" s="35" t="n"/>
      <c r="F417" s="36" t="n"/>
    </row>
    <row r="418">
      <c r="A418" s="35" t="n"/>
      <c r="B418" s="35" t="n"/>
      <c r="C418" s="36" t="n"/>
      <c r="D418" s="36" t="n"/>
      <c r="E418" s="35" t="n"/>
      <c r="F418" s="36" t="n"/>
    </row>
    <row r="419">
      <c r="A419" s="35" t="n"/>
      <c r="B419" s="35" t="n"/>
      <c r="C419" s="36" t="n"/>
      <c r="D419" s="36" t="n"/>
      <c r="E419" s="35" t="n"/>
      <c r="F419" s="36" t="n"/>
    </row>
    <row r="420">
      <c r="A420" s="35" t="n"/>
      <c r="B420" s="35" t="n"/>
      <c r="C420" s="36" t="n"/>
      <c r="D420" s="36" t="n"/>
      <c r="E420" s="35" t="n"/>
      <c r="F420" s="36" t="n"/>
    </row>
    <row r="421">
      <c r="A421" s="35" t="n"/>
      <c r="B421" s="35" t="n"/>
      <c r="C421" s="36" t="n"/>
      <c r="D421" s="36" t="n"/>
      <c r="E421" s="35" t="n"/>
      <c r="F421" s="36" t="n"/>
    </row>
    <row r="422">
      <c r="A422" s="35" t="n"/>
      <c r="B422" s="35" t="n"/>
      <c r="C422" s="36" t="n"/>
      <c r="D422" s="36" t="n"/>
      <c r="E422" s="35" t="n"/>
      <c r="F422" s="36" t="n"/>
    </row>
    <row r="423">
      <c r="A423" s="35" t="n"/>
      <c r="B423" s="35" t="n"/>
      <c r="C423" s="36" t="n"/>
      <c r="D423" s="36" t="n"/>
      <c r="E423" s="35" t="n"/>
      <c r="F423" s="36" t="n"/>
    </row>
    <row r="424">
      <c r="A424" s="35" t="n"/>
      <c r="B424" s="35" t="n"/>
      <c r="C424" s="36" t="n"/>
      <c r="D424" s="36" t="n"/>
      <c r="E424" s="35" t="n"/>
      <c r="F424" s="36" t="n"/>
    </row>
    <row r="425">
      <c r="A425" s="35" t="n"/>
      <c r="B425" s="35" t="n"/>
      <c r="C425" s="36" t="n"/>
      <c r="D425" s="36" t="n"/>
      <c r="E425" s="35" t="n"/>
      <c r="F425" s="36" t="n"/>
    </row>
    <row r="426">
      <c r="A426" s="35" t="n"/>
      <c r="B426" s="35" t="n"/>
      <c r="C426" s="36" t="n"/>
      <c r="D426" s="36" t="n"/>
      <c r="E426" s="35" t="n"/>
      <c r="F426" s="36" t="n"/>
    </row>
    <row r="427">
      <c r="A427" s="35" t="n"/>
      <c r="B427" s="35" t="n"/>
      <c r="C427" s="36" t="n"/>
      <c r="D427" s="36" t="n"/>
      <c r="E427" s="35" t="n"/>
      <c r="F427" s="36" t="n"/>
    </row>
    <row r="428">
      <c r="A428" s="35" t="n"/>
      <c r="B428" s="35" t="n"/>
      <c r="C428" s="36" t="n"/>
      <c r="D428" s="36" t="n"/>
      <c r="E428" s="35" t="n"/>
      <c r="F428" s="36" t="n"/>
    </row>
    <row r="429">
      <c r="A429" s="35" t="n"/>
      <c r="B429" s="35" t="n"/>
      <c r="C429" s="36" t="n"/>
      <c r="D429" s="36" t="n"/>
      <c r="E429" s="35" t="n"/>
      <c r="F429" s="36" t="n"/>
    </row>
    <row r="430">
      <c r="A430" s="35" t="n"/>
      <c r="B430" s="35" t="n"/>
      <c r="C430" s="36" t="n"/>
      <c r="D430" s="36" t="n"/>
      <c r="E430" s="35" t="n"/>
      <c r="F430" s="36" t="n"/>
    </row>
    <row r="431">
      <c r="A431" s="35" t="n"/>
      <c r="B431" s="35" t="n"/>
      <c r="C431" s="36" t="n"/>
      <c r="D431" s="36" t="n"/>
      <c r="E431" s="35" t="n"/>
      <c r="F431" s="36" t="n"/>
    </row>
    <row r="432">
      <c r="A432" s="35" t="n"/>
      <c r="B432" s="35" t="n"/>
      <c r="C432" s="36" t="n"/>
      <c r="D432" s="36" t="n"/>
      <c r="E432" s="35" t="n"/>
      <c r="F432" s="36" t="n"/>
    </row>
    <row r="433">
      <c r="A433" s="35" t="n"/>
      <c r="B433" s="35" t="n"/>
      <c r="C433" s="36" t="n"/>
      <c r="D433" s="36" t="n"/>
      <c r="E433" s="35" t="n"/>
      <c r="F433" s="36" t="n"/>
    </row>
    <row r="434">
      <c r="A434" s="35" t="n"/>
      <c r="B434" s="35" t="n"/>
      <c r="C434" s="36" t="n"/>
      <c r="D434" s="36" t="n"/>
      <c r="E434" s="35" t="n"/>
      <c r="F434" s="36" t="n"/>
    </row>
    <row r="435">
      <c r="A435" s="35" t="n"/>
      <c r="B435" s="35" t="n"/>
      <c r="C435" s="36" t="n"/>
      <c r="D435" s="36" t="n"/>
      <c r="E435" s="35" t="n"/>
      <c r="F435" s="36" t="n"/>
    </row>
    <row r="436">
      <c r="A436" s="35" t="n"/>
      <c r="B436" s="35" t="n"/>
      <c r="C436" s="36" t="n"/>
      <c r="D436" s="36" t="n"/>
      <c r="E436" s="35" t="n"/>
      <c r="F436" s="36" t="n"/>
    </row>
    <row r="437">
      <c r="A437" s="35" t="n"/>
      <c r="B437" s="35" t="n"/>
      <c r="C437" s="36" t="n"/>
      <c r="D437" s="36" t="n"/>
      <c r="E437" s="35" t="n"/>
      <c r="F437" s="36" t="n"/>
    </row>
    <row r="438">
      <c r="A438" s="35" t="n"/>
      <c r="B438" s="35" t="n"/>
      <c r="C438" s="36" t="n"/>
      <c r="D438" s="36" t="n"/>
      <c r="E438" s="35" t="n"/>
      <c r="F438" s="36" t="n"/>
    </row>
    <row r="439">
      <c r="A439" s="35" t="n"/>
      <c r="B439" s="35" t="n"/>
      <c r="C439" s="36" t="n"/>
      <c r="D439" s="36" t="n"/>
      <c r="E439" s="35" t="n"/>
      <c r="F439" s="36" t="n"/>
    </row>
    <row r="440">
      <c r="A440" s="35" t="n"/>
      <c r="B440" s="35" t="n"/>
      <c r="C440" s="36" t="n"/>
      <c r="D440" s="36" t="n"/>
      <c r="E440" s="35" t="n"/>
      <c r="F440" s="36" t="n"/>
    </row>
    <row r="441">
      <c r="A441" s="35" t="n"/>
      <c r="B441" s="35" t="n"/>
      <c r="C441" s="36" t="n"/>
      <c r="D441" s="36" t="n"/>
      <c r="E441" s="35" t="n"/>
      <c r="F441" s="36" t="n"/>
    </row>
    <row r="442">
      <c r="A442" s="35" t="n"/>
      <c r="B442" s="35" t="n"/>
      <c r="C442" s="36" t="n"/>
      <c r="D442" s="36" t="n"/>
      <c r="E442" s="35" t="n"/>
      <c r="F442" s="36" t="n"/>
    </row>
    <row r="443">
      <c r="A443" s="35" t="n"/>
      <c r="B443" s="35" t="n"/>
      <c r="C443" s="36" t="n"/>
      <c r="D443" s="36" t="n"/>
      <c r="E443" s="35" t="n"/>
      <c r="F443" s="36" t="n"/>
    </row>
    <row r="444">
      <c r="A444" s="35" t="n"/>
      <c r="B444" s="35" t="n"/>
      <c r="C444" s="36" t="n"/>
      <c r="D444" s="36" t="n"/>
      <c r="E444" s="35" t="n"/>
      <c r="F444" s="36" t="n"/>
    </row>
    <row r="445">
      <c r="A445" s="35" t="n"/>
      <c r="B445" s="35" t="n"/>
      <c r="C445" s="36" t="n"/>
      <c r="D445" s="36" t="n"/>
      <c r="E445" s="35" t="n"/>
      <c r="F445" s="36" t="n"/>
    </row>
    <row r="446">
      <c r="A446" s="35" t="n"/>
      <c r="B446" s="35" t="n"/>
      <c r="C446" s="36" t="n"/>
      <c r="D446" s="36" t="n"/>
      <c r="E446" s="35" t="n"/>
      <c r="F446" s="36" t="n"/>
    </row>
    <row r="447">
      <c r="A447" s="35" t="n"/>
      <c r="B447" s="35" t="n"/>
      <c r="C447" s="36" t="n"/>
      <c r="D447" s="36" t="n"/>
      <c r="E447" s="35" t="n"/>
      <c r="F447" s="36" t="n"/>
    </row>
    <row r="448">
      <c r="A448" s="35" t="n"/>
      <c r="B448" s="35" t="n"/>
      <c r="C448" s="36" t="n"/>
      <c r="D448" s="36" t="n"/>
      <c r="E448" s="35" t="n"/>
      <c r="F448" s="36" t="n"/>
    </row>
    <row r="449">
      <c r="A449" s="35" t="n"/>
      <c r="B449" s="35" t="n"/>
      <c r="C449" s="36" t="n"/>
      <c r="D449" s="36" t="n"/>
      <c r="E449" s="35" t="n"/>
      <c r="F449" s="36" t="n"/>
    </row>
    <row r="450">
      <c r="A450" s="35" t="n"/>
      <c r="B450" s="35" t="n"/>
      <c r="C450" s="36" t="n"/>
      <c r="D450" s="36" t="n"/>
      <c r="E450" s="35" t="n"/>
      <c r="F450" s="36" t="n"/>
    </row>
    <row r="451">
      <c r="A451" s="35" t="n"/>
      <c r="B451" s="35" t="n"/>
      <c r="C451" s="36" t="n"/>
      <c r="D451" s="36" t="n"/>
      <c r="E451" s="35" t="n"/>
      <c r="F451" s="36" t="n"/>
    </row>
    <row r="452">
      <c r="A452" s="35" t="n"/>
      <c r="B452" s="35" t="n"/>
      <c r="C452" s="36" t="n"/>
      <c r="D452" s="36" t="n"/>
      <c r="E452" s="35" t="n"/>
      <c r="F452" s="36" t="n"/>
    </row>
    <row r="453">
      <c r="A453" s="35" t="n"/>
      <c r="B453" s="35" t="n"/>
      <c r="C453" s="36" t="n"/>
      <c r="D453" s="36" t="n"/>
      <c r="E453" s="35" t="n"/>
      <c r="F453" s="36" t="n"/>
    </row>
    <row r="454">
      <c r="A454" s="35" t="n"/>
      <c r="B454" s="35" t="n"/>
      <c r="C454" s="36" t="n"/>
      <c r="D454" s="36" t="n"/>
      <c r="E454" s="35" t="n"/>
      <c r="F454" s="36" t="n"/>
    </row>
    <row r="455">
      <c r="A455" s="35" t="n"/>
      <c r="B455" s="35" t="n"/>
      <c r="C455" s="36" t="n"/>
      <c r="D455" s="36" t="n"/>
      <c r="E455" s="35" t="n"/>
      <c r="F455" s="36" t="n"/>
    </row>
    <row r="456">
      <c r="A456" s="35" t="n"/>
      <c r="B456" s="35" t="n"/>
      <c r="C456" s="36" t="n"/>
      <c r="D456" s="36" t="n"/>
      <c r="E456" s="35" t="n"/>
      <c r="F456" s="36" t="n"/>
    </row>
    <row r="457">
      <c r="A457" s="35" t="n"/>
      <c r="B457" s="35" t="n"/>
      <c r="C457" s="36" t="n"/>
      <c r="D457" s="36" t="n"/>
      <c r="E457" s="35" t="n"/>
      <c r="F457" s="36" t="n"/>
    </row>
    <row r="458">
      <c r="A458" s="35" t="n"/>
      <c r="B458" s="35" t="n"/>
      <c r="C458" s="36" t="n"/>
      <c r="D458" s="36" t="n"/>
      <c r="E458" s="35" t="n"/>
      <c r="F458" s="36" t="n"/>
    </row>
    <row r="459">
      <c r="A459" s="35" t="n"/>
      <c r="B459" s="35" t="n"/>
      <c r="C459" s="36" t="n"/>
      <c r="D459" s="36" t="n"/>
      <c r="E459" s="35" t="n"/>
      <c r="F459" s="36" t="n"/>
    </row>
    <row r="460">
      <c r="A460" s="35" t="n"/>
      <c r="B460" s="35" t="n"/>
      <c r="C460" s="36" t="n"/>
      <c r="D460" s="36" t="n"/>
      <c r="E460" s="35" t="n"/>
      <c r="F460" s="36" t="n"/>
    </row>
    <row r="461">
      <c r="A461" s="35" t="n"/>
      <c r="B461" s="35" t="n"/>
      <c r="C461" s="36" t="n"/>
      <c r="D461" s="36" t="n"/>
      <c r="E461" s="35" t="n"/>
      <c r="F461" s="36" t="n"/>
    </row>
    <row r="462">
      <c r="A462" s="35" t="n"/>
      <c r="B462" s="35" t="n"/>
      <c r="C462" s="36" t="n"/>
      <c r="D462" s="36" t="n"/>
      <c r="E462" s="35" t="n"/>
      <c r="F462" s="36" t="n"/>
    </row>
    <row r="463">
      <c r="A463" s="35" t="n"/>
      <c r="B463" s="35" t="n"/>
      <c r="C463" s="36" t="n"/>
      <c r="D463" s="36" t="n"/>
      <c r="E463" s="35" t="n"/>
      <c r="F463" s="36" t="n"/>
    </row>
    <row r="464">
      <c r="A464" s="35" t="n"/>
      <c r="B464" s="35" t="n"/>
      <c r="C464" s="36" t="n"/>
      <c r="D464" s="36" t="n"/>
      <c r="E464" s="35" t="n"/>
      <c r="F464" s="36" t="n"/>
    </row>
    <row r="465">
      <c r="A465" s="35" t="n"/>
      <c r="B465" s="35" t="n"/>
      <c r="C465" s="36" t="n"/>
      <c r="D465" s="36" t="n"/>
      <c r="E465" s="35" t="n"/>
      <c r="F465" s="36" t="n"/>
    </row>
    <row r="466">
      <c r="A466" s="35" t="n"/>
      <c r="B466" s="35" t="n"/>
      <c r="C466" s="36" t="n"/>
      <c r="D466" s="36" t="n"/>
      <c r="E466" s="35" t="n"/>
      <c r="F466" s="36" t="n"/>
    </row>
    <row r="467">
      <c r="A467" s="35" t="n"/>
      <c r="B467" s="35" t="n"/>
      <c r="C467" s="36" t="n"/>
      <c r="D467" s="36" t="n"/>
      <c r="E467" s="35" t="n"/>
      <c r="F467" s="36" t="n"/>
    </row>
    <row r="468">
      <c r="A468" s="35" t="n"/>
      <c r="B468" s="35" t="n"/>
      <c r="C468" s="36" t="n"/>
      <c r="D468" s="36" t="n"/>
      <c r="E468" s="35" t="n"/>
      <c r="F468" s="36" t="n"/>
    </row>
    <row r="469">
      <c r="A469" s="35" t="n"/>
      <c r="B469" s="35" t="n"/>
      <c r="C469" s="36" t="n"/>
      <c r="D469" s="36" t="n"/>
      <c r="E469" s="35" t="n"/>
      <c r="F469" s="36" t="n"/>
    </row>
    <row r="470">
      <c r="A470" s="35" t="n"/>
      <c r="B470" s="35" t="n"/>
      <c r="C470" s="36" t="n"/>
      <c r="D470" s="36" t="n"/>
      <c r="E470" s="35" t="n"/>
      <c r="F470" s="36" t="n"/>
    </row>
    <row r="471">
      <c r="A471" s="35" t="n"/>
      <c r="B471" s="35" t="n"/>
      <c r="C471" s="36" t="n"/>
      <c r="D471" s="36" t="n"/>
      <c r="E471" s="35" t="n"/>
      <c r="F471" s="36" t="n"/>
    </row>
    <row r="472">
      <c r="A472" s="35" t="n"/>
      <c r="B472" s="35" t="n"/>
      <c r="C472" s="36" t="n"/>
      <c r="D472" s="36" t="n"/>
      <c r="E472" s="35" t="n"/>
      <c r="F472" s="36" t="n"/>
    </row>
    <row r="473">
      <c r="A473" s="35" t="n"/>
      <c r="B473" s="35" t="n"/>
      <c r="C473" s="36" t="n"/>
      <c r="D473" s="36" t="n"/>
      <c r="E473" s="35" t="n"/>
      <c r="F473" s="36" t="n"/>
    </row>
    <row r="474">
      <c r="A474" s="35" t="n"/>
      <c r="B474" s="35" t="n"/>
      <c r="C474" s="36" t="n"/>
      <c r="D474" s="36" t="n"/>
      <c r="E474" s="35" t="n"/>
      <c r="F474" s="36" t="n"/>
    </row>
    <row r="475">
      <c r="A475" s="35" t="n"/>
      <c r="B475" s="35" t="n"/>
      <c r="C475" s="36" t="n"/>
      <c r="D475" s="36" t="n"/>
      <c r="E475" s="35" t="n"/>
      <c r="F475" s="36" t="n"/>
    </row>
    <row r="476">
      <c r="A476" s="35" t="n"/>
      <c r="B476" s="35" t="n"/>
      <c r="C476" s="36" t="n"/>
      <c r="D476" s="36" t="n"/>
      <c r="E476" s="35" t="n"/>
      <c r="F476" s="36" t="n"/>
    </row>
    <row r="477">
      <c r="A477" s="35" t="n"/>
      <c r="B477" s="35" t="n"/>
      <c r="C477" s="36" t="n"/>
      <c r="D477" s="36" t="n"/>
      <c r="E477" s="35" t="n"/>
      <c r="F477" s="36" t="n"/>
    </row>
    <row r="478">
      <c r="A478" s="35" t="n"/>
      <c r="B478" s="35" t="n"/>
      <c r="C478" s="36" t="n"/>
      <c r="D478" s="36" t="n"/>
      <c r="E478" s="35" t="n"/>
      <c r="F478" s="36" t="n"/>
    </row>
    <row r="479">
      <c r="A479" s="35" t="n"/>
      <c r="B479" s="35" t="n"/>
      <c r="C479" s="36" t="n"/>
      <c r="D479" s="36" t="n"/>
      <c r="E479" s="35" t="n"/>
      <c r="F479" s="36" t="n"/>
    </row>
    <row r="480">
      <c r="A480" s="35" t="n"/>
      <c r="B480" s="35" t="n"/>
      <c r="C480" s="36" t="n"/>
      <c r="D480" s="36" t="n"/>
      <c r="E480" s="35" t="n"/>
      <c r="F480" s="36" t="n"/>
    </row>
    <row r="481">
      <c r="A481" s="35" t="n"/>
      <c r="B481" s="35" t="n"/>
      <c r="C481" s="36" t="n"/>
      <c r="D481" s="36" t="n"/>
      <c r="E481" s="35" t="n"/>
      <c r="F481" s="36" t="n"/>
    </row>
    <row r="482">
      <c r="A482" s="35" t="n"/>
      <c r="B482" s="35" t="n"/>
      <c r="C482" s="36" t="n"/>
      <c r="D482" s="36" t="n"/>
      <c r="E482" s="35" t="n"/>
      <c r="F482" s="36" t="n"/>
    </row>
    <row r="483">
      <c r="A483" s="35" t="n"/>
      <c r="B483" s="35" t="n"/>
      <c r="C483" s="36" t="n"/>
      <c r="D483" s="36" t="n"/>
      <c r="E483" s="35" t="n"/>
      <c r="F483" s="36" t="n"/>
    </row>
    <row r="484">
      <c r="A484" s="35" t="n"/>
      <c r="B484" s="35" t="n"/>
      <c r="C484" s="36" t="n"/>
      <c r="D484" s="36" t="n"/>
      <c r="E484" s="35" t="n"/>
      <c r="F484" s="36" t="n"/>
    </row>
    <row r="485">
      <c r="A485" s="35" t="n"/>
      <c r="B485" s="35" t="n"/>
      <c r="C485" s="36" t="n"/>
      <c r="D485" s="36" t="n"/>
      <c r="E485" s="35" t="n"/>
      <c r="F485" s="36" t="n"/>
    </row>
    <row r="486">
      <c r="A486" s="35" t="n"/>
      <c r="B486" s="35" t="n"/>
      <c r="C486" s="36" t="n"/>
      <c r="D486" s="36" t="n"/>
      <c r="E486" s="35" t="n"/>
      <c r="F486" s="36" t="n"/>
    </row>
    <row r="487">
      <c r="A487" s="35" t="n"/>
      <c r="B487" s="35" t="n"/>
      <c r="C487" s="36" t="n"/>
      <c r="D487" s="36" t="n"/>
      <c r="E487" s="35" t="n"/>
      <c r="F487" s="36" t="n"/>
    </row>
    <row r="488">
      <c r="A488" s="35" t="n"/>
      <c r="B488" s="35" t="n"/>
      <c r="C488" s="36" t="n"/>
      <c r="D488" s="36" t="n"/>
      <c r="E488" s="35" t="n"/>
      <c r="F488" s="36" t="n"/>
    </row>
    <row r="489">
      <c r="A489" s="35" t="n"/>
      <c r="B489" s="35" t="n"/>
      <c r="C489" s="36" t="n"/>
      <c r="D489" s="36" t="n"/>
      <c r="E489" s="35" t="n"/>
      <c r="F489" s="36" t="n"/>
    </row>
    <row r="490">
      <c r="A490" s="35" t="n"/>
      <c r="B490" s="35" t="n"/>
      <c r="C490" s="36" t="n"/>
      <c r="D490" s="36" t="n"/>
      <c r="E490" s="35" t="n"/>
      <c r="F490" s="36" t="n"/>
    </row>
    <row r="491">
      <c r="A491" s="35" t="n"/>
      <c r="B491" s="35" t="n"/>
      <c r="C491" s="36" t="n"/>
      <c r="D491" s="36" t="n"/>
      <c r="E491" s="35" t="n"/>
      <c r="F491" s="36" t="n"/>
    </row>
    <row r="492">
      <c r="A492" s="35" t="n"/>
      <c r="B492" s="35" t="n"/>
      <c r="C492" s="36" t="n"/>
      <c r="D492" s="36" t="n"/>
      <c r="E492" s="35" t="n"/>
      <c r="F492" s="36" t="n"/>
    </row>
    <row r="493">
      <c r="A493" s="35" t="n"/>
      <c r="B493" s="35" t="n"/>
      <c r="C493" s="36" t="n"/>
      <c r="D493" s="36" t="n"/>
      <c r="E493" s="35" t="n"/>
      <c r="F493" s="36" t="n"/>
    </row>
    <row r="494">
      <c r="A494" s="35" t="n"/>
      <c r="B494" s="35" t="n"/>
      <c r="C494" s="36" t="n"/>
      <c r="D494" s="36" t="n"/>
      <c r="E494" s="35" t="n"/>
      <c r="F494" s="36" t="n"/>
    </row>
    <row r="495">
      <c r="A495" s="35" t="n"/>
      <c r="B495" s="35" t="n"/>
      <c r="C495" s="36" t="n"/>
      <c r="D495" s="36" t="n"/>
      <c r="E495" s="35" t="n"/>
      <c r="F495" s="36" t="n"/>
    </row>
    <row r="496">
      <c r="A496" s="35" t="n"/>
      <c r="B496" s="35" t="n"/>
      <c r="C496" s="36" t="n"/>
      <c r="D496" s="36" t="n"/>
      <c r="E496" s="35" t="n"/>
      <c r="F496" s="36" t="n"/>
    </row>
    <row r="497">
      <c r="A497" s="35" t="n"/>
      <c r="B497" s="35" t="n"/>
      <c r="C497" s="36" t="n"/>
      <c r="D497" s="36" t="n"/>
      <c r="E497" s="35" t="n"/>
      <c r="F497" s="36" t="n"/>
    </row>
    <row r="498">
      <c r="A498" s="35" t="n"/>
      <c r="B498" s="35" t="n"/>
      <c r="C498" s="36" t="n"/>
      <c r="D498" s="36" t="n"/>
      <c r="E498" s="35" t="n"/>
      <c r="F498" s="36" t="n"/>
    </row>
    <row r="499">
      <c r="A499" s="35" t="n"/>
      <c r="B499" s="35" t="n"/>
      <c r="C499" s="36" t="n"/>
      <c r="D499" s="36" t="n"/>
      <c r="E499" s="35" t="n"/>
      <c r="F499" s="36" t="n"/>
    </row>
    <row r="500">
      <c r="A500" s="35" t="n"/>
      <c r="B500" s="35" t="n"/>
      <c r="C500" s="36" t="n"/>
      <c r="D500" s="36" t="n"/>
      <c r="E500" s="35" t="n"/>
      <c r="F500" s="36" t="n"/>
    </row>
    <row r="501">
      <c r="A501" s="35" t="n"/>
      <c r="B501" s="35" t="n"/>
      <c r="C501" s="36" t="n"/>
      <c r="D501" s="36" t="n"/>
      <c r="E501" s="35" t="n"/>
      <c r="F501" s="36" t="n"/>
    </row>
    <row r="502">
      <c r="A502" s="35" t="n"/>
      <c r="B502" s="35" t="n"/>
      <c r="C502" s="36" t="n"/>
      <c r="D502" s="36" t="n"/>
      <c r="E502" s="35" t="n"/>
      <c r="F502" s="36" t="n"/>
    </row>
    <row r="503">
      <c r="A503" s="35" t="n"/>
      <c r="B503" s="35" t="n"/>
      <c r="C503" s="36" t="n"/>
      <c r="D503" s="36" t="n"/>
      <c r="E503" s="35" t="n"/>
      <c r="F503" s="36" t="n"/>
    </row>
    <row r="504">
      <c r="A504" s="35" t="n"/>
      <c r="B504" s="35" t="n"/>
      <c r="C504" s="36" t="n"/>
      <c r="D504" s="36" t="n"/>
      <c r="E504" s="35" t="n"/>
      <c r="F504" s="36" t="n"/>
    </row>
    <row r="505">
      <c r="A505" s="35" t="n"/>
      <c r="B505" s="35" t="n"/>
      <c r="C505" s="36" t="n"/>
      <c r="D505" s="36" t="n"/>
      <c r="E505" s="35" t="n"/>
      <c r="F505" s="36" t="n"/>
    </row>
    <row r="506">
      <c r="A506" s="35" t="n"/>
      <c r="B506" s="35" t="n"/>
      <c r="C506" s="36" t="n"/>
      <c r="D506" s="36" t="n"/>
      <c r="E506" s="35" t="n"/>
      <c r="F506" s="36" t="n"/>
    </row>
    <row r="507">
      <c r="A507" s="35" t="n"/>
      <c r="B507" s="35" t="n"/>
      <c r="C507" s="36" t="n"/>
      <c r="D507" s="36" t="n"/>
      <c r="E507" s="35" t="n"/>
      <c r="F507" s="36" t="n"/>
    </row>
    <row r="508">
      <c r="A508" s="35" t="n"/>
      <c r="B508" s="35" t="n"/>
      <c r="C508" s="36" t="n"/>
      <c r="D508" s="36" t="n"/>
      <c r="E508" s="35" t="n"/>
      <c r="F508" s="36" t="n"/>
    </row>
    <row r="509">
      <c r="A509" s="35" t="n"/>
      <c r="B509" s="35" t="n"/>
      <c r="C509" s="36" t="n"/>
      <c r="D509" s="36" t="n"/>
      <c r="E509" s="35" t="n"/>
      <c r="F509" s="36" t="n"/>
    </row>
    <row r="510">
      <c r="A510" s="35" t="n"/>
      <c r="B510" s="35" t="n"/>
      <c r="C510" s="36" t="n"/>
      <c r="D510" s="36" t="n"/>
      <c r="E510" s="35" t="n"/>
      <c r="F510" s="36" t="n"/>
    </row>
    <row r="511">
      <c r="A511" s="35" t="n"/>
      <c r="B511" s="35" t="n"/>
      <c r="C511" s="36" t="n"/>
      <c r="D511" s="36" t="n"/>
      <c r="E511" s="35" t="n"/>
      <c r="F511" s="36" t="n"/>
    </row>
    <row r="512">
      <c r="A512" s="35" t="n"/>
      <c r="B512" s="35" t="n"/>
      <c r="C512" s="36" t="n"/>
      <c r="D512" s="36" t="n"/>
      <c r="E512" s="35" t="n"/>
      <c r="F512" s="36" t="n"/>
    </row>
    <row r="513">
      <c r="A513" s="35" t="n"/>
      <c r="B513" s="35" t="n"/>
      <c r="C513" s="36" t="n"/>
      <c r="D513" s="36" t="n"/>
      <c r="E513" s="35" t="n"/>
      <c r="F513" s="36" t="n"/>
    </row>
    <row r="514">
      <c r="A514" s="35" t="n"/>
      <c r="B514" s="35" t="n"/>
      <c r="C514" s="36" t="n"/>
      <c r="D514" s="36" t="n"/>
      <c r="E514" s="35" t="n"/>
      <c r="F514" s="36" t="n"/>
    </row>
    <row r="515">
      <c r="A515" s="35" t="n"/>
      <c r="B515" s="35" t="n"/>
      <c r="C515" s="36" t="n"/>
      <c r="D515" s="36" t="n"/>
      <c r="E515" s="35" t="n"/>
      <c r="F515" s="36" t="n"/>
    </row>
    <row r="516">
      <c r="A516" s="35" t="n"/>
      <c r="B516" s="35" t="n"/>
      <c r="C516" s="36" t="n"/>
      <c r="D516" s="36" t="n"/>
      <c r="E516" s="35" t="n"/>
      <c r="F516" s="36" t="n"/>
    </row>
    <row r="517">
      <c r="A517" s="35" t="n"/>
      <c r="B517" s="35" t="n"/>
      <c r="C517" s="36" t="n"/>
      <c r="D517" s="36" t="n"/>
      <c r="E517" s="35" t="n"/>
      <c r="F517" s="36" t="n"/>
    </row>
    <row r="518">
      <c r="A518" s="35" t="n"/>
      <c r="B518" s="35" t="n"/>
      <c r="C518" s="36" t="n"/>
      <c r="D518" s="36" t="n"/>
      <c r="E518" s="35" t="n"/>
      <c r="F518" s="36" t="n"/>
    </row>
    <row r="519">
      <c r="A519" s="35" t="n"/>
      <c r="B519" s="35" t="n"/>
      <c r="C519" s="36" t="n"/>
      <c r="D519" s="36" t="n"/>
      <c r="E519" s="35" t="n"/>
      <c r="F519" s="36" t="n"/>
    </row>
    <row r="520">
      <c r="A520" s="35" t="n"/>
      <c r="B520" s="35" t="n"/>
      <c r="C520" s="36" t="n"/>
      <c r="D520" s="36" t="n"/>
      <c r="E520" s="35" t="n"/>
      <c r="F520" s="36" t="n"/>
    </row>
    <row r="521">
      <c r="A521" s="35" t="n"/>
      <c r="B521" s="35" t="n"/>
      <c r="C521" s="36" t="n"/>
      <c r="D521" s="36" t="n"/>
      <c r="E521" s="35" t="n"/>
      <c r="F521" s="36" t="n"/>
    </row>
    <row r="522">
      <c r="A522" s="35" t="n"/>
      <c r="B522" s="35" t="n"/>
      <c r="C522" s="36" t="n"/>
      <c r="D522" s="36" t="n"/>
      <c r="E522" s="35" t="n"/>
      <c r="F522" s="36" t="n"/>
    </row>
    <row r="523">
      <c r="A523" s="35" t="n"/>
      <c r="B523" s="35" t="n"/>
      <c r="C523" s="36" t="n"/>
      <c r="D523" s="36" t="n"/>
      <c r="E523" s="35" t="n"/>
      <c r="F523" s="36" t="n"/>
    </row>
    <row r="524">
      <c r="A524" s="35" t="n"/>
      <c r="B524" s="35" t="n"/>
      <c r="C524" s="36" t="n"/>
      <c r="D524" s="36" t="n"/>
      <c r="E524" s="35" t="n"/>
      <c r="F524" s="36" t="n"/>
    </row>
    <row r="525">
      <c r="A525" s="35" t="n"/>
      <c r="B525" s="35" t="n"/>
      <c r="C525" s="36" t="n"/>
      <c r="D525" s="36" t="n"/>
      <c r="E525" s="35" t="n"/>
      <c r="F525" s="36" t="n"/>
    </row>
    <row r="526">
      <c r="A526" s="35" t="n"/>
      <c r="B526" s="35" t="n"/>
      <c r="C526" s="36" t="n"/>
      <c r="D526" s="36" t="n"/>
      <c r="E526" s="35" t="n"/>
      <c r="F526" s="36" t="n"/>
    </row>
    <row r="527">
      <c r="A527" s="35" t="n"/>
      <c r="B527" s="35" t="n"/>
      <c r="C527" s="36" t="n"/>
      <c r="D527" s="36" t="n"/>
      <c r="E527" s="35" t="n"/>
      <c r="F527" s="36" t="n"/>
    </row>
    <row r="528">
      <c r="A528" s="35" t="n"/>
      <c r="B528" s="35" t="n"/>
      <c r="C528" s="36" t="n"/>
      <c r="D528" s="36" t="n"/>
      <c r="E528" s="35" t="n"/>
      <c r="F528" s="36" t="n"/>
    </row>
    <row r="529">
      <c r="A529" s="35" t="n"/>
      <c r="B529" s="35" t="n"/>
      <c r="C529" s="36" t="n"/>
      <c r="D529" s="36" t="n"/>
      <c r="E529" s="35" t="n"/>
      <c r="F529" s="36" t="n"/>
    </row>
    <row r="530">
      <c r="A530" s="35" t="n"/>
      <c r="B530" s="35" t="n"/>
      <c r="C530" s="36" t="n"/>
      <c r="D530" s="36" t="n"/>
      <c r="E530" s="35" t="n"/>
      <c r="F530" s="36" t="n"/>
    </row>
    <row r="531">
      <c r="A531" s="35" t="n"/>
      <c r="B531" s="35" t="n"/>
      <c r="C531" s="36" t="n"/>
      <c r="D531" s="36" t="n"/>
      <c r="E531" s="35" t="n"/>
      <c r="F531" s="36" t="n"/>
    </row>
    <row r="532">
      <c r="A532" s="35" t="n"/>
      <c r="B532" s="35" t="n"/>
      <c r="C532" s="36" t="n"/>
      <c r="D532" s="36" t="n"/>
      <c r="E532" s="35" t="n"/>
      <c r="F532" s="36" t="n"/>
    </row>
    <row r="533">
      <c r="A533" s="35" t="n"/>
      <c r="B533" s="35" t="n"/>
      <c r="C533" s="36" t="n"/>
      <c r="D533" s="36" t="n"/>
      <c r="E533" s="35" t="n"/>
      <c r="F533" s="36" t="n"/>
    </row>
    <row r="534">
      <c r="A534" s="35" t="n"/>
      <c r="B534" s="35" t="n"/>
      <c r="C534" s="36" t="n"/>
      <c r="D534" s="36" t="n"/>
      <c r="E534" s="35" t="n"/>
      <c r="F534" s="36" t="n"/>
    </row>
    <row r="535">
      <c r="A535" s="35" t="n"/>
      <c r="B535" s="35" t="n"/>
      <c r="C535" s="36" t="n"/>
      <c r="D535" s="36" t="n"/>
      <c r="E535" s="35" t="n"/>
      <c r="F535" s="36" t="n"/>
    </row>
    <row r="536">
      <c r="A536" s="35" t="n"/>
      <c r="B536" s="35" t="n"/>
      <c r="C536" s="36" t="n"/>
      <c r="D536" s="36" t="n"/>
      <c r="E536" s="35" t="n"/>
      <c r="F536" s="36" t="n"/>
    </row>
    <row r="537">
      <c r="A537" s="35" t="n"/>
      <c r="B537" s="35" t="n"/>
      <c r="C537" s="36" t="n"/>
      <c r="D537" s="36" t="n"/>
      <c r="E537" s="35" t="n"/>
      <c r="F537" s="36" t="n"/>
    </row>
    <row r="538">
      <c r="A538" s="35" t="n"/>
      <c r="B538" s="35" t="n"/>
      <c r="C538" s="36" t="n"/>
      <c r="D538" s="36" t="n"/>
      <c r="E538" s="35" t="n"/>
      <c r="F538" s="36" t="n"/>
    </row>
    <row r="539">
      <c r="A539" s="35" t="n"/>
      <c r="B539" s="35" t="n"/>
      <c r="C539" s="36" t="n"/>
      <c r="D539" s="36" t="n"/>
      <c r="E539" s="35" t="n"/>
      <c r="F539" s="36" t="n"/>
    </row>
    <row r="540">
      <c r="A540" s="35" t="n"/>
      <c r="B540" s="35" t="n"/>
      <c r="C540" s="36" t="n"/>
      <c r="D540" s="36" t="n"/>
      <c r="E540" s="35" t="n"/>
      <c r="F540" s="36" t="n"/>
    </row>
    <row r="541">
      <c r="A541" s="35" t="n"/>
      <c r="B541" s="35" t="n"/>
      <c r="C541" s="36" t="n"/>
      <c r="D541" s="36" t="n"/>
      <c r="E541" s="35" t="n"/>
      <c r="F541" s="36" t="n"/>
    </row>
    <row r="542">
      <c r="A542" s="35" t="n"/>
      <c r="B542" s="35" t="n"/>
      <c r="C542" s="36" t="n"/>
      <c r="D542" s="36" t="n"/>
      <c r="E542" s="35" t="n"/>
      <c r="F542" s="36" t="n"/>
    </row>
    <row r="543">
      <c r="A543" s="35" t="n"/>
      <c r="B543" s="35" t="n"/>
      <c r="C543" s="36" t="n"/>
      <c r="D543" s="36" t="n"/>
      <c r="E543" s="35" t="n"/>
      <c r="F543" s="36" t="n"/>
    </row>
    <row r="544">
      <c r="A544" s="35" t="n"/>
      <c r="B544" s="35" t="n"/>
      <c r="C544" s="36" t="n"/>
      <c r="D544" s="36" t="n"/>
      <c r="E544" s="35" t="n"/>
      <c r="F544" s="36" t="n"/>
    </row>
    <row r="545">
      <c r="A545" s="35" t="n"/>
      <c r="B545" s="35" t="n"/>
      <c r="C545" s="36" t="n"/>
      <c r="D545" s="36" t="n"/>
      <c r="E545" s="35" t="n"/>
      <c r="F545" s="36" t="n"/>
    </row>
    <row r="546">
      <c r="A546" s="35" t="n"/>
      <c r="B546" s="35" t="n"/>
      <c r="C546" s="36" t="n"/>
      <c r="D546" s="36" t="n"/>
      <c r="E546" s="35" t="n"/>
      <c r="F546" s="36" t="n"/>
    </row>
    <row r="547">
      <c r="A547" s="35" t="n"/>
      <c r="B547" s="35" t="n"/>
      <c r="C547" s="36" t="n"/>
      <c r="D547" s="36" t="n"/>
      <c r="E547" s="35" t="n"/>
      <c r="F547" s="36" t="n"/>
    </row>
    <row r="548">
      <c r="A548" s="35" t="n"/>
      <c r="B548" s="35" t="n"/>
      <c r="C548" s="36" t="n"/>
      <c r="D548" s="36" t="n"/>
      <c r="E548" s="35" t="n"/>
      <c r="F548" s="36" t="n"/>
    </row>
    <row r="549">
      <c r="A549" s="35" t="n"/>
      <c r="B549" s="35" t="n"/>
      <c r="C549" s="36" t="n"/>
      <c r="D549" s="36" t="n"/>
      <c r="E549" s="35" t="n"/>
      <c r="F549" s="36" t="n"/>
    </row>
    <row r="550">
      <c r="A550" s="35" t="n"/>
      <c r="B550" s="35" t="n"/>
      <c r="C550" s="36" t="n"/>
      <c r="D550" s="36" t="n"/>
      <c r="E550" s="35" t="n"/>
      <c r="F550" s="36" t="n"/>
    </row>
    <row r="551">
      <c r="A551" s="35" t="n"/>
      <c r="B551" s="35" t="n"/>
      <c r="C551" s="36" t="n"/>
      <c r="D551" s="36" t="n"/>
      <c r="E551" s="35" t="n"/>
      <c r="F551" s="36" t="n"/>
    </row>
    <row r="552">
      <c r="A552" s="35" t="n"/>
      <c r="B552" s="35" t="n"/>
      <c r="C552" s="36" t="n"/>
      <c r="D552" s="36" t="n"/>
      <c r="E552" s="35" t="n"/>
      <c r="F552" s="36" t="n"/>
    </row>
    <row r="553">
      <c r="A553" s="35" t="n"/>
      <c r="B553" s="35" t="n"/>
      <c r="C553" s="36" t="n"/>
      <c r="D553" s="36" t="n"/>
      <c r="E553" s="35" t="n"/>
      <c r="F553" s="36" t="n"/>
    </row>
    <row r="554">
      <c r="A554" s="35" t="n"/>
      <c r="B554" s="35" t="n"/>
      <c r="C554" s="36" t="n"/>
      <c r="D554" s="36" t="n"/>
      <c r="E554" s="35" t="n"/>
      <c r="F554" s="36" t="n"/>
    </row>
    <row r="555">
      <c r="A555" s="35" t="n"/>
      <c r="B555" s="35" t="n"/>
      <c r="C555" s="36" t="n"/>
      <c r="D555" s="36" t="n"/>
      <c r="E555" s="35" t="n"/>
      <c r="F555" s="36" t="n"/>
    </row>
    <row r="556">
      <c r="A556" s="35" t="n"/>
      <c r="B556" s="35" t="n"/>
      <c r="C556" s="36" t="n"/>
      <c r="D556" s="36" t="n"/>
      <c r="E556" s="35" t="n"/>
      <c r="F556" s="36" t="n"/>
    </row>
    <row r="557">
      <c r="A557" s="35" t="n"/>
      <c r="B557" s="35" t="n"/>
      <c r="C557" s="36" t="n"/>
      <c r="D557" s="36" t="n"/>
      <c r="E557" s="35" t="n"/>
      <c r="F557" s="36" t="n"/>
    </row>
    <row r="558">
      <c r="A558" s="35" t="n"/>
      <c r="B558" s="35" t="n"/>
      <c r="C558" s="36" t="n"/>
      <c r="D558" s="36" t="n"/>
      <c r="E558" s="35" t="n"/>
      <c r="F558" s="36" t="n"/>
    </row>
    <row r="559">
      <c r="A559" s="35" t="n"/>
      <c r="B559" s="35" t="n"/>
      <c r="C559" s="36" t="n"/>
      <c r="D559" s="36" t="n"/>
      <c r="E559" s="35" t="n"/>
      <c r="F559" s="36" t="n"/>
    </row>
    <row r="560">
      <c r="A560" s="35" t="n"/>
      <c r="B560" s="35" t="n"/>
      <c r="C560" s="36" t="n"/>
      <c r="D560" s="36" t="n"/>
      <c r="E560" s="35" t="n"/>
      <c r="F560" s="36" t="n"/>
    </row>
    <row r="561">
      <c r="A561" s="35" t="n"/>
      <c r="B561" s="35" t="n"/>
      <c r="C561" s="36" t="n"/>
      <c r="D561" s="36" t="n"/>
      <c r="E561" s="35" t="n"/>
      <c r="F561" s="36" t="n"/>
    </row>
    <row r="562">
      <c r="A562" s="35" t="n"/>
      <c r="B562" s="35" t="n"/>
      <c r="C562" s="36" t="n"/>
      <c r="D562" s="36" t="n"/>
      <c r="E562" s="35" t="n"/>
      <c r="F562" s="36" t="n"/>
    </row>
    <row r="563">
      <c r="A563" s="35" t="n"/>
      <c r="B563" s="35" t="n"/>
      <c r="C563" s="36" t="n"/>
      <c r="D563" s="36" t="n"/>
      <c r="E563" s="35" t="n"/>
      <c r="F563" s="36" t="n"/>
    </row>
    <row r="564">
      <c r="A564" s="35" t="n"/>
      <c r="B564" s="35" t="n"/>
      <c r="C564" s="36" t="n"/>
      <c r="D564" s="36" t="n"/>
      <c r="E564" s="35" t="n"/>
      <c r="F564" s="36" t="n"/>
    </row>
    <row r="565">
      <c r="A565" s="35" t="n"/>
      <c r="B565" s="35" t="n"/>
      <c r="C565" s="36" t="n"/>
      <c r="D565" s="36" t="n"/>
      <c r="E565" s="35" t="n"/>
      <c r="F565" s="36" t="n"/>
    </row>
    <row r="566">
      <c r="A566" s="35" t="n"/>
      <c r="B566" s="35" t="n"/>
      <c r="C566" s="36" t="n"/>
      <c r="D566" s="36" t="n"/>
      <c r="E566" s="35" t="n"/>
      <c r="F566" s="36" t="n"/>
    </row>
    <row r="567">
      <c r="A567" s="35" t="n"/>
      <c r="B567" s="35" t="n"/>
      <c r="C567" s="36" t="n"/>
      <c r="D567" s="36" t="n"/>
      <c r="E567" s="35" t="n"/>
      <c r="F567" s="36" t="n"/>
    </row>
    <row r="568">
      <c r="A568" s="35" t="n"/>
      <c r="B568" s="35" t="n"/>
      <c r="C568" s="36" t="n"/>
      <c r="D568" s="36" t="n"/>
      <c r="E568" s="35" t="n"/>
      <c r="F568" s="36" t="n"/>
    </row>
    <row r="569">
      <c r="A569" s="35" t="n"/>
      <c r="B569" s="35" t="n"/>
      <c r="C569" s="36" t="n"/>
      <c r="D569" s="36" t="n"/>
      <c r="E569" s="35" t="n"/>
      <c r="F569" s="36" t="n"/>
    </row>
    <row r="570">
      <c r="A570" s="35" t="n"/>
      <c r="B570" s="35" t="n"/>
      <c r="C570" s="36" t="n"/>
      <c r="D570" s="36" t="n"/>
      <c r="E570" s="35" t="n"/>
      <c r="F570" s="36" t="n"/>
    </row>
    <row r="571">
      <c r="A571" s="35" t="n"/>
      <c r="B571" s="35" t="n"/>
      <c r="C571" s="36" t="n"/>
      <c r="D571" s="36" t="n"/>
      <c r="E571" s="35" t="n"/>
      <c r="F571" s="36" t="n"/>
    </row>
    <row r="572">
      <c r="A572" s="35" t="n"/>
      <c r="B572" s="35" t="n"/>
      <c r="C572" s="36" t="n"/>
      <c r="D572" s="36" t="n"/>
      <c r="E572" s="35" t="n"/>
      <c r="F572" s="36" t="n"/>
    </row>
    <row r="573">
      <c r="A573" s="35" t="n"/>
      <c r="B573" s="35" t="n"/>
      <c r="C573" s="36" t="n"/>
      <c r="D573" s="36" t="n"/>
      <c r="E573" s="35" t="n"/>
      <c r="F573" s="36" t="n"/>
    </row>
    <row r="574">
      <c r="A574" s="35" t="n"/>
      <c r="B574" s="35" t="n"/>
      <c r="C574" s="36" t="n"/>
      <c r="D574" s="36" t="n"/>
      <c r="E574" s="35" t="n"/>
      <c r="F574" s="36" t="n"/>
    </row>
    <row r="575">
      <c r="A575" s="35" t="n"/>
      <c r="B575" s="35" t="n"/>
      <c r="C575" s="36" t="n"/>
      <c r="D575" s="36" t="n"/>
      <c r="E575" s="35" t="n"/>
      <c r="F575" s="36" t="n"/>
    </row>
    <row r="576">
      <c r="A576" s="35" t="n"/>
      <c r="B576" s="35" t="n"/>
      <c r="C576" s="36" t="n"/>
      <c r="D576" s="36" t="n"/>
      <c r="E576" s="35" t="n"/>
      <c r="F576" s="36" t="n"/>
    </row>
    <row r="577">
      <c r="A577" s="35" t="n"/>
      <c r="B577" s="35" t="n"/>
      <c r="C577" s="36" t="n"/>
      <c r="D577" s="36" t="n"/>
      <c r="E577" s="35" t="n"/>
      <c r="F577" s="36" t="n"/>
    </row>
    <row r="578">
      <c r="A578" s="35" t="n"/>
      <c r="B578" s="35" t="n"/>
      <c r="C578" s="36" t="n"/>
      <c r="D578" s="36" t="n"/>
      <c r="E578" s="35" t="n"/>
      <c r="F578" s="36" t="n"/>
    </row>
    <row r="579">
      <c r="A579" s="35" t="n"/>
      <c r="B579" s="35" t="n"/>
      <c r="C579" s="36" t="n"/>
      <c r="D579" s="36" t="n"/>
      <c r="E579" s="35" t="n"/>
      <c r="F579" s="36" t="n"/>
    </row>
    <row r="580">
      <c r="A580" s="35" t="n"/>
      <c r="B580" s="35" t="n"/>
      <c r="C580" s="36" t="n"/>
      <c r="D580" s="36" t="n"/>
      <c r="E580" s="35" t="n"/>
      <c r="F580" s="36" t="n"/>
    </row>
    <row r="581">
      <c r="A581" s="35" t="n"/>
      <c r="B581" s="35" t="n"/>
      <c r="C581" s="36" t="n"/>
      <c r="D581" s="36" t="n"/>
      <c r="E581" s="35" t="n"/>
      <c r="F581" s="36" t="n"/>
    </row>
    <row r="582">
      <c r="A582" s="35" t="n"/>
      <c r="B582" s="35" t="n"/>
      <c r="C582" s="36" t="n"/>
      <c r="D582" s="36" t="n"/>
      <c r="E582" s="35" t="n"/>
      <c r="F582" s="36" t="n"/>
    </row>
    <row r="583">
      <c r="A583" s="35" t="n"/>
      <c r="B583" s="35" t="n"/>
      <c r="C583" s="36" t="n"/>
      <c r="D583" s="36" t="n"/>
      <c r="E583" s="35" t="n"/>
      <c r="F583" s="36" t="n"/>
    </row>
    <row r="584">
      <c r="A584" s="35" t="n"/>
      <c r="B584" s="35" t="n"/>
      <c r="C584" s="36" t="n"/>
      <c r="D584" s="36" t="n"/>
      <c r="E584" s="35" t="n"/>
      <c r="F584" s="36" t="n"/>
    </row>
    <row r="585">
      <c r="A585" s="35" t="n"/>
      <c r="B585" s="35" t="n"/>
      <c r="C585" s="36" t="n"/>
      <c r="D585" s="36" t="n"/>
      <c r="E585" s="35" t="n"/>
      <c r="F585" s="36" t="n"/>
    </row>
    <row r="586">
      <c r="A586" s="35" t="n"/>
      <c r="B586" s="35" t="n"/>
      <c r="C586" s="36" t="n"/>
      <c r="D586" s="36" t="n"/>
      <c r="E586" s="35" t="n"/>
      <c r="F586" s="36" t="n"/>
    </row>
    <row r="587">
      <c r="A587" s="35" t="n"/>
      <c r="B587" s="35" t="n"/>
      <c r="C587" s="36" t="n"/>
      <c r="D587" s="36" t="n"/>
      <c r="E587" s="35" t="n"/>
      <c r="F587" s="36" t="n"/>
    </row>
    <row r="588">
      <c r="A588" s="35" t="n"/>
      <c r="B588" s="35" t="n"/>
      <c r="C588" s="36" t="n"/>
      <c r="D588" s="36" t="n"/>
      <c r="E588" s="35" t="n"/>
      <c r="F588" s="36" t="n"/>
    </row>
    <row r="589">
      <c r="A589" s="35" t="n"/>
      <c r="B589" s="35" t="n"/>
      <c r="C589" s="36" t="n"/>
      <c r="D589" s="36" t="n"/>
      <c r="E589" s="35" t="n"/>
      <c r="F589" s="36" t="n"/>
    </row>
    <row r="590">
      <c r="A590" s="35" t="n"/>
      <c r="B590" s="35" t="n"/>
      <c r="C590" s="36" t="n"/>
      <c r="D590" s="36" t="n"/>
      <c r="E590" s="35" t="n"/>
      <c r="F590" s="36" t="n"/>
    </row>
    <row r="591">
      <c r="A591" s="35" t="n"/>
      <c r="B591" s="35" t="n"/>
      <c r="C591" s="36" t="n"/>
      <c r="D591" s="36" t="n"/>
      <c r="E591" s="35" t="n"/>
      <c r="F591" s="36" t="n"/>
    </row>
    <row r="592">
      <c r="A592" s="35" t="n"/>
      <c r="B592" s="35" t="n"/>
      <c r="C592" s="36" t="n"/>
      <c r="D592" s="36" t="n"/>
      <c r="E592" s="35" t="n"/>
      <c r="F592" s="36" t="n"/>
    </row>
    <row r="593">
      <c r="A593" s="35" t="n"/>
      <c r="B593" s="35" t="n"/>
      <c r="C593" s="36" t="n"/>
      <c r="D593" s="36" t="n"/>
      <c r="E593" s="35" t="n"/>
      <c r="F593" s="36" t="n"/>
    </row>
    <row r="594">
      <c r="A594" s="35" t="n"/>
      <c r="B594" s="35" t="n"/>
      <c r="C594" s="36" t="n"/>
      <c r="D594" s="36" t="n"/>
      <c r="E594" s="35" t="n"/>
      <c r="F594" s="36" t="n"/>
    </row>
    <row r="595">
      <c r="A595" s="35" t="n"/>
      <c r="B595" s="35" t="n"/>
      <c r="C595" s="36" t="n"/>
      <c r="D595" s="36" t="n"/>
      <c r="E595" s="35" t="n"/>
      <c r="F595" s="36" t="n"/>
    </row>
    <row r="596">
      <c r="A596" s="35" t="n"/>
      <c r="B596" s="35" t="n"/>
      <c r="C596" s="36" t="n"/>
      <c r="D596" s="36" t="n"/>
      <c r="E596" s="35" t="n"/>
      <c r="F596" s="36" t="n"/>
    </row>
    <row r="597">
      <c r="A597" s="35" t="n"/>
      <c r="B597" s="35" t="n"/>
      <c r="C597" s="36" t="n"/>
      <c r="D597" s="36" t="n"/>
      <c r="E597" s="35" t="n"/>
      <c r="F597" s="36" t="n"/>
    </row>
    <row r="598">
      <c r="A598" s="35" t="n"/>
      <c r="B598" s="35" t="n"/>
      <c r="C598" s="36" t="n"/>
      <c r="D598" s="36" t="n"/>
      <c r="E598" s="35" t="n"/>
      <c r="F598" s="36" t="n"/>
    </row>
    <row r="599">
      <c r="A599" s="35" t="n"/>
      <c r="B599" s="35" t="n"/>
      <c r="C599" s="36" t="n"/>
      <c r="D599" s="36" t="n"/>
      <c r="E599" s="35" t="n"/>
      <c r="F599" s="36" t="n"/>
    </row>
    <row r="600">
      <c r="A600" s="35" t="n"/>
      <c r="B600" s="35" t="n"/>
      <c r="C600" s="36" t="n"/>
      <c r="D600" s="36" t="n"/>
      <c r="E600" s="35" t="n"/>
      <c r="F600" s="36" t="n"/>
    </row>
    <row r="601">
      <c r="A601" s="35" t="n"/>
      <c r="B601" s="35" t="n"/>
      <c r="C601" s="36" t="n"/>
      <c r="D601" s="36" t="n"/>
      <c r="E601" s="35" t="n"/>
      <c r="F601" s="36" t="n"/>
    </row>
    <row r="602">
      <c r="A602" s="35" t="n"/>
      <c r="B602" s="35" t="n"/>
      <c r="C602" s="36" t="n"/>
      <c r="D602" s="36" t="n"/>
      <c r="E602" s="35" t="n"/>
      <c r="F602" s="36" t="n"/>
    </row>
    <row r="603">
      <c r="A603" s="35" t="n"/>
      <c r="B603" s="35" t="n"/>
      <c r="C603" s="36" t="n"/>
      <c r="D603" s="36" t="n"/>
      <c r="E603" s="35" t="n"/>
      <c r="F603" s="36" t="n"/>
    </row>
    <row r="604">
      <c r="A604" s="35" t="n"/>
      <c r="B604" s="35" t="n"/>
      <c r="C604" s="36" t="n"/>
      <c r="D604" s="36" t="n"/>
      <c r="E604" s="35" t="n"/>
      <c r="F604" s="36" t="n"/>
    </row>
    <row r="605">
      <c r="A605" s="35" t="n"/>
      <c r="B605" s="35" t="n"/>
      <c r="C605" s="36" t="n"/>
      <c r="D605" s="36" t="n"/>
      <c r="E605" s="35" t="n"/>
      <c r="F605" s="36" t="n"/>
    </row>
    <row r="606">
      <c r="A606" s="35" t="n"/>
      <c r="B606" s="35" t="n"/>
      <c r="C606" s="36" t="n"/>
      <c r="D606" s="36" t="n"/>
      <c r="E606" s="35" t="n"/>
      <c r="F606" s="36" t="n"/>
    </row>
    <row r="607">
      <c r="A607" s="35" t="n"/>
      <c r="B607" s="35" t="n"/>
      <c r="C607" s="36" t="n"/>
      <c r="D607" s="36" t="n"/>
      <c r="E607" s="35" t="n"/>
      <c r="F607" s="36" t="n"/>
    </row>
    <row r="608">
      <c r="A608" s="35" t="n"/>
      <c r="B608" s="35" t="n"/>
      <c r="C608" s="36" t="n"/>
      <c r="D608" s="36" t="n"/>
      <c r="E608" s="35" t="n"/>
      <c r="F608" s="36" t="n"/>
    </row>
    <row r="609">
      <c r="A609" s="35" t="n"/>
      <c r="B609" s="35" t="n"/>
      <c r="C609" s="36" t="n"/>
      <c r="D609" s="36" t="n"/>
      <c r="E609" s="35" t="n"/>
      <c r="F609" s="36" t="n"/>
    </row>
    <row r="610">
      <c r="A610" s="35" t="n"/>
      <c r="B610" s="35" t="n"/>
      <c r="C610" s="36" t="n"/>
      <c r="D610" s="36" t="n"/>
      <c r="E610" s="35" t="n"/>
      <c r="F610" s="36" t="n"/>
    </row>
    <row r="611">
      <c r="A611" s="35" t="n"/>
      <c r="B611" s="35" t="n"/>
      <c r="C611" s="36" t="n"/>
      <c r="D611" s="36" t="n"/>
      <c r="E611" s="35" t="n"/>
      <c r="F611" s="36" t="n"/>
    </row>
    <row r="612">
      <c r="A612" s="35" t="n"/>
      <c r="B612" s="35" t="n"/>
      <c r="C612" s="36" t="n"/>
      <c r="D612" s="36" t="n"/>
      <c r="E612" s="35" t="n"/>
      <c r="F612" s="36" t="n"/>
    </row>
    <row r="613">
      <c r="A613" s="35" t="n"/>
      <c r="B613" s="35" t="n"/>
      <c r="C613" s="36" t="n"/>
      <c r="D613" s="36" t="n"/>
      <c r="E613" s="35" t="n"/>
      <c r="F613" s="36" t="n"/>
    </row>
    <row r="614">
      <c r="A614" s="35" t="n"/>
      <c r="B614" s="35" t="n"/>
      <c r="C614" s="36" t="n"/>
      <c r="D614" s="36" t="n"/>
      <c r="E614" s="35" t="n"/>
      <c r="F614" s="36" t="n"/>
    </row>
    <row r="615">
      <c r="A615" s="35" t="n"/>
      <c r="B615" s="35" t="n"/>
      <c r="C615" s="36" t="n"/>
      <c r="D615" s="36" t="n"/>
      <c r="E615" s="35" t="n"/>
      <c r="F615" s="36" t="n"/>
    </row>
    <row r="616">
      <c r="A616" s="35" t="n"/>
      <c r="B616" s="35" t="n"/>
      <c r="C616" s="36" t="n"/>
      <c r="D616" s="36" t="n"/>
      <c r="E616" s="35" t="n"/>
      <c r="F616" s="36" t="n"/>
    </row>
    <row r="617">
      <c r="A617" s="35" t="n"/>
      <c r="B617" s="35" t="n"/>
      <c r="C617" s="36" t="n"/>
      <c r="D617" s="36" t="n"/>
      <c r="E617" s="35" t="n"/>
      <c r="F617" s="36" t="n"/>
    </row>
    <row r="618">
      <c r="A618" s="35" t="n"/>
      <c r="B618" s="35" t="n"/>
      <c r="C618" s="36" t="n"/>
      <c r="D618" s="36" t="n"/>
      <c r="E618" s="35" t="n"/>
      <c r="F618" s="36" t="n"/>
    </row>
    <row r="619">
      <c r="A619" s="35" t="n"/>
      <c r="B619" s="35" t="n"/>
      <c r="C619" s="36" t="n"/>
      <c r="D619" s="36" t="n"/>
      <c r="E619" s="35" t="n"/>
      <c r="F619" s="36" t="n"/>
    </row>
    <row r="620">
      <c r="A620" s="35" t="n"/>
      <c r="B620" s="35" t="n"/>
      <c r="C620" s="36" t="n"/>
      <c r="D620" s="36" t="n"/>
      <c r="E620" s="35" t="n"/>
      <c r="F620" s="36" t="n"/>
    </row>
    <row r="621">
      <c r="A621" s="35" t="n"/>
      <c r="B621" s="35" t="n"/>
      <c r="C621" s="36" t="n"/>
      <c r="D621" s="36" t="n"/>
      <c r="E621" s="35" t="n"/>
      <c r="F621" s="36" t="n"/>
    </row>
    <row r="622">
      <c r="A622" s="35" t="n"/>
      <c r="B622" s="35" t="n"/>
      <c r="C622" s="36" t="n"/>
      <c r="D622" s="36" t="n"/>
      <c r="E622" s="35" t="n"/>
      <c r="F622" s="36" t="n"/>
    </row>
    <row r="623">
      <c r="A623" s="35" t="n"/>
      <c r="B623" s="35" t="n"/>
      <c r="C623" s="36" t="n"/>
      <c r="D623" s="36" t="n"/>
      <c r="E623" s="35" t="n"/>
      <c r="F623" s="36" t="n"/>
    </row>
    <row r="624">
      <c r="A624" s="35" t="n"/>
      <c r="B624" s="35" t="n"/>
      <c r="C624" s="36" t="n"/>
      <c r="D624" s="36" t="n"/>
      <c r="E624" s="35" t="n"/>
      <c r="F624" s="36" t="n"/>
    </row>
    <row r="625">
      <c r="A625" s="35" t="n"/>
      <c r="B625" s="35" t="n"/>
      <c r="C625" s="36" t="n"/>
      <c r="D625" s="36" t="n"/>
      <c r="E625" s="35" t="n"/>
      <c r="F625" s="36" t="n"/>
    </row>
    <row r="626">
      <c r="A626" s="35" t="n"/>
      <c r="B626" s="35" t="n"/>
      <c r="C626" s="36" t="n"/>
      <c r="D626" s="36" t="n"/>
      <c r="E626" s="35" t="n"/>
      <c r="F626" s="36" t="n"/>
    </row>
    <row r="627">
      <c r="A627" s="35" t="n"/>
      <c r="B627" s="35" t="n"/>
      <c r="C627" s="36" t="n"/>
      <c r="D627" s="36" t="n"/>
      <c r="E627" s="35" t="n"/>
      <c r="F627" s="36" t="n"/>
    </row>
    <row r="628">
      <c r="A628" s="35" t="n"/>
      <c r="B628" s="35" t="n"/>
      <c r="C628" s="36" t="n"/>
      <c r="D628" s="36" t="n"/>
      <c r="E628" s="35" t="n"/>
      <c r="F628" s="36" t="n"/>
    </row>
    <row r="629">
      <c r="A629" s="35" t="n"/>
      <c r="B629" s="35" t="n"/>
      <c r="C629" s="36" t="n"/>
      <c r="D629" s="36" t="n"/>
      <c r="E629" s="35" t="n"/>
      <c r="F629" s="36" t="n"/>
    </row>
    <row r="630">
      <c r="A630" s="35" t="n"/>
      <c r="B630" s="35" t="n"/>
      <c r="C630" s="36" t="n"/>
      <c r="D630" s="36" t="n"/>
      <c r="E630" s="35" t="n"/>
      <c r="F630" s="36" t="n"/>
    </row>
    <row r="631">
      <c r="A631" s="35" t="n"/>
      <c r="B631" s="35" t="n"/>
      <c r="C631" s="36" t="n"/>
      <c r="D631" s="36" t="n"/>
      <c r="E631" s="35" t="n"/>
      <c r="F631" s="36" t="n"/>
    </row>
    <row r="632">
      <c r="A632" s="35" t="n"/>
      <c r="B632" s="35" t="n"/>
      <c r="C632" s="36" t="n"/>
      <c r="D632" s="36" t="n"/>
      <c r="E632" s="35" t="n"/>
      <c r="F632" s="36" t="n"/>
    </row>
    <row r="633">
      <c r="A633" s="35" t="n"/>
      <c r="B633" s="35" t="n"/>
      <c r="C633" s="36" t="n"/>
      <c r="D633" s="36" t="n"/>
      <c r="E633" s="35" t="n"/>
      <c r="F633" s="36" t="n"/>
    </row>
    <row r="634">
      <c r="A634" s="35" t="n"/>
      <c r="B634" s="35" t="n"/>
      <c r="C634" s="36" t="n"/>
      <c r="D634" s="36" t="n"/>
      <c r="E634" s="35" t="n"/>
      <c r="F634" s="36" t="n"/>
    </row>
    <row r="635">
      <c r="A635" s="35" t="n"/>
      <c r="B635" s="35" t="n"/>
      <c r="C635" s="36" t="n"/>
      <c r="D635" s="36" t="n"/>
      <c r="E635" s="35" t="n"/>
      <c r="F635" s="36" t="n"/>
    </row>
    <row r="636">
      <c r="A636" s="35" t="n"/>
      <c r="B636" s="35" t="n"/>
      <c r="C636" s="36" t="n"/>
      <c r="D636" s="36" t="n"/>
      <c r="E636" s="35" t="n"/>
      <c r="F636" s="36" t="n"/>
    </row>
    <row r="637">
      <c r="A637" s="35" t="n"/>
      <c r="B637" s="35" t="n"/>
      <c r="C637" s="36" t="n"/>
      <c r="D637" s="36" t="n"/>
      <c r="E637" s="35" t="n"/>
      <c r="F637" s="36" t="n"/>
    </row>
    <row r="638">
      <c r="A638" s="35" t="n"/>
      <c r="B638" s="35" t="n"/>
      <c r="C638" s="36" t="n"/>
      <c r="D638" s="36" t="n"/>
      <c r="E638" s="35" t="n"/>
      <c r="F638" s="36" t="n"/>
    </row>
    <row r="639">
      <c r="A639" s="35" t="n"/>
      <c r="B639" s="35" t="n"/>
      <c r="C639" s="36" t="n"/>
      <c r="D639" s="36" t="n"/>
      <c r="E639" s="35" t="n"/>
      <c r="F639" s="36" t="n"/>
    </row>
    <row r="640">
      <c r="A640" s="35" t="n"/>
      <c r="B640" s="35" t="n"/>
      <c r="C640" s="36" t="n"/>
      <c r="D640" s="36" t="n"/>
      <c r="E640" s="35" t="n"/>
      <c r="F640" s="36" t="n"/>
    </row>
    <row r="641">
      <c r="A641" s="35" t="n"/>
      <c r="B641" s="35" t="n"/>
      <c r="C641" s="36" t="n"/>
      <c r="D641" s="36" t="n"/>
      <c r="E641" s="35" t="n"/>
      <c r="F641" s="36" t="n"/>
    </row>
    <row r="642">
      <c r="A642" s="35" t="n"/>
      <c r="B642" s="35" t="n"/>
      <c r="C642" s="36" t="n"/>
      <c r="D642" s="36" t="n"/>
      <c r="E642" s="35" t="n"/>
      <c r="F642" s="36" t="n"/>
    </row>
    <row r="643">
      <c r="A643" s="35" t="n"/>
      <c r="B643" s="35" t="n"/>
      <c r="C643" s="36" t="n"/>
      <c r="D643" s="36" t="n"/>
      <c r="E643" s="35" t="n"/>
      <c r="F643" s="36" t="n"/>
    </row>
    <row r="644">
      <c r="A644" s="35" t="n"/>
      <c r="B644" s="35" t="n"/>
      <c r="C644" s="36" t="n"/>
      <c r="D644" s="36" t="n"/>
      <c r="E644" s="35" t="n"/>
      <c r="F644" s="36" t="n"/>
    </row>
    <row r="645">
      <c r="A645" s="35" t="n"/>
      <c r="B645" s="35" t="n"/>
      <c r="C645" s="36" t="n"/>
      <c r="D645" s="36" t="n"/>
      <c r="E645" s="35" t="n"/>
      <c r="F645" s="36" t="n"/>
    </row>
    <row r="646">
      <c r="A646" s="35" t="n"/>
      <c r="B646" s="35" t="n"/>
      <c r="C646" s="36" t="n"/>
      <c r="D646" s="36" t="n"/>
      <c r="E646" s="35" t="n"/>
      <c r="F646" s="36" t="n"/>
    </row>
    <row r="647">
      <c r="A647" s="35" t="n"/>
      <c r="B647" s="35" t="n"/>
      <c r="C647" s="36" t="n"/>
      <c r="D647" s="36" t="n"/>
      <c r="E647" s="35" t="n"/>
      <c r="F647" s="36" t="n"/>
    </row>
    <row r="648">
      <c r="A648" s="35" t="n"/>
      <c r="B648" s="35" t="n"/>
      <c r="C648" s="36" t="n"/>
      <c r="D648" s="36" t="n"/>
      <c r="E648" s="35" t="n"/>
      <c r="F648" s="36" t="n"/>
    </row>
    <row r="649">
      <c r="A649" s="35" t="n"/>
      <c r="B649" s="35" t="n"/>
      <c r="C649" s="36" t="n"/>
      <c r="D649" s="36" t="n"/>
      <c r="E649" s="35" t="n"/>
      <c r="F649" s="36" t="n"/>
    </row>
    <row r="650">
      <c r="A650" s="35" t="n"/>
      <c r="B650" s="35" t="n"/>
      <c r="C650" s="36" t="n"/>
      <c r="D650" s="36" t="n"/>
      <c r="E650" s="35" t="n"/>
      <c r="F650" s="36" t="n"/>
    </row>
    <row r="651">
      <c r="A651" s="35" t="n"/>
      <c r="B651" s="35" t="n"/>
      <c r="C651" s="36" t="n"/>
      <c r="D651" s="36" t="n"/>
      <c r="E651" s="35" t="n"/>
      <c r="F651" s="36" t="n"/>
    </row>
    <row r="652">
      <c r="A652" s="35" t="n"/>
      <c r="B652" s="35" t="n"/>
      <c r="C652" s="36" t="n"/>
      <c r="D652" s="36" t="n"/>
      <c r="E652" s="35" t="n"/>
      <c r="F652" s="36" t="n"/>
    </row>
    <row r="653">
      <c r="A653" s="35" t="n"/>
      <c r="B653" s="35" t="n"/>
      <c r="C653" s="36" t="n"/>
      <c r="D653" s="36" t="n"/>
      <c r="E653" s="35" t="n"/>
      <c r="F653" s="36" t="n"/>
    </row>
    <row r="654">
      <c r="A654" s="35" t="n"/>
      <c r="B654" s="35" t="n"/>
      <c r="C654" s="36" t="n"/>
      <c r="D654" s="36" t="n"/>
      <c r="E654" s="35" t="n"/>
      <c r="F654" s="36" t="n"/>
    </row>
    <row r="655">
      <c r="A655" s="35" t="n"/>
      <c r="B655" s="35" t="n"/>
      <c r="C655" s="36" t="n"/>
      <c r="D655" s="36" t="n"/>
      <c r="E655" s="35" t="n"/>
      <c r="F655" s="36" t="n"/>
    </row>
    <row r="656">
      <c r="A656" s="35" t="n"/>
      <c r="B656" s="35" t="n"/>
      <c r="C656" s="36" t="n"/>
      <c r="D656" s="36" t="n"/>
      <c r="E656" s="35" t="n"/>
      <c r="F656" s="36" t="n"/>
    </row>
    <row r="657">
      <c r="A657" s="35" t="n"/>
      <c r="B657" s="35" t="n"/>
      <c r="C657" s="36" t="n"/>
      <c r="D657" s="36" t="n"/>
      <c r="E657" s="35" t="n"/>
      <c r="F657" s="36" t="n"/>
    </row>
    <row r="658">
      <c r="A658" s="35" t="n"/>
      <c r="B658" s="35" t="n"/>
      <c r="C658" s="36" t="n"/>
      <c r="D658" s="36" t="n"/>
      <c r="E658" s="35" t="n"/>
      <c r="F658" s="36" t="n"/>
    </row>
    <row r="659">
      <c r="A659" s="35" t="n"/>
      <c r="B659" s="35" t="n"/>
      <c r="C659" s="36" t="n"/>
      <c r="D659" s="36" t="n"/>
      <c r="E659" s="35" t="n"/>
      <c r="F659" s="36" t="n"/>
    </row>
    <row r="660">
      <c r="A660" s="35" t="n"/>
      <c r="B660" s="35" t="n"/>
      <c r="C660" s="36" t="n"/>
      <c r="D660" s="36" t="n"/>
      <c r="E660" s="35" t="n"/>
      <c r="F660" s="36" t="n"/>
    </row>
    <row r="661">
      <c r="A661" s="35" t="n"/>
      <c r="B661" s="35" t="n"/>
      <c r="C661" s="36" t="n"/>
      <c r="D661" s="36" t="n"/>
      <c r="E661" s="35" t="n"/>
      <c r="F661" s="36" t="n"/>
    </row>
    <row r="662">
      <c r="A662" s="35" t="n"/>
      <c r="B662" s="35" t="n"/>
      <c r="C662" s="36" t="n"/>
      <c r="D662" s="36" t="n"/>
      <c r="E662" s="35" t="n"/>
      <c r="F662" s="36" t="n"/>
    </row>
    <row r="663">
      <c r="A663" s="35" t="n"/>
      <c r="B663" s="35" t="n"/>
      <c r="C663" s="36" t="n"/>
      <c r="D663" s="36" t="n"/>
      <c r="E663" s="35" t="n"/>
      <c r="F663" s="36" t="n"/>
    </row>
    <row r="664">
      <c r="A664" s="35" t="n"/>
      <c r="B664" s="35" t="n"/>
      <c r="C664" s="36" t="n"/>
      <c r="D664" s="36" t="n"/>
      <c r="E664" s="35" t="n"/>
      <c r="F664" s="36" t="n"/>
    </row>
    <row r="665">
      <c r="A665" s="35" t="n"/>
      <c r="B665" s="35" t="n"/>
      <c r="C665" s="36" t="n"/>
      <c r="D665" s="36" t="n"/>
      <c r="E665" s="35" t="n"/>
      <c r="F665" s="36" t="n"/>
    </row>
    <row r="666">
      <c r="A666" s="35" t="n"/>
      <c r="B666" s="35" t="n"/>
      <c r="C666" s="36" t="n"/>
      <c r="D666" s="36" t="n"/>
      <c r="E666" s="35" t="n"/>
      <c r="F666" s="36" t="n"/>
    </row>
    <row r="667">
      <c r="A667" s="35" t="n"/>
      <c r="B667" s="35" t="n"/>
      <c r="C667" s="36" t="n"/>
      <c r="D667" s="36" t="n"/>
      <c r="E667" s="35" t="n"/>
      <c r="F667" s="36" t="n"/>
    </row>
    <row r="668">
      <c r="A668" s="35" t="n"/>
      <c r="B668" s="35" t="n"/>
      <c r="C668" s="36" t="n"/>
      <c r="D668" s="36" t="n"/>
      <c r="E668" s="35" t="n"/>
      <c r="F668" s="36" t="n"/>
    </row>
    <row r="669">
      <c r="A669" s="35" t="n"/>
      <c r="B669" s="35" t="n"/>
      <c r="C669" s="36" t="n"/>
      <c r="D669" s="36" t="n"/>
      <c r="E669" s="35" t="n"/>
      <c r="F669" s="36" t="n"/>
    </row>
    <row r="670">
      <c r="A670" s="35" t="n"/>
      <c r="B670" s="35" t="n"/>
      <c r="C670" s="36" t="n"/>
      <c r="D670" s="36" t="n"/>
      <c r="E670" s="35" t="n"/>
      <c r="F670" s="36" t="n"/>
    </row>
    <row r="671">
      <c r="A671" s="35" t="n"/>
      <c r="B671" s="35" t="n"/>
      <c r="C671" s="36" t="n"/>
      <c r="D671" s="36" t="n"/>
      <c r="E671" s="35" t="n"/>
      <c r="F671" s="36" t="n"/>
    </row>
    <row r="672">
      <c r="A672" s="35" t="n"/>
      <c r="B672" s="35" t="n"/>
      <c r="C672" s="36" t="n"/>
      <c r="D672" s="36" t="n"/>
      <c r="E672" s="35" t="n"/>
      <c r="F672" s="36" t="n"/>
    </row>
    <row r="673">
      <c r="A673" s="35" t="n"/>
      <c r="B673" s="35" t="n"/>
      <c r="C673" s="36" t="n"/>
      <c r="D673" s="36" t="n"/>
      <c r="E673" s="35" t="n"/>
      <c r="F673" s="36" t="n"/>
    </row>
    <row r="674">
      <c r="A674" s="35" t="n"/>
      <c r="B674" s="35" t="n"/>
      <c r="C674" s="36" t="n"/>
      <c r="D674" s="36" t="n"/>
      <c r="E674" s="35" t="n"/>
      <c r="F674" s="36" t="n"/>
    </row>
    <row r="675">
      <c r="A675" s="35" t="n"/>
      <c r="B675" s="35" t="n"/>
      <c r="C675" s="36" t="n"/>
      <c r="D675" s="36" t="n"/>
      <c r="E675" s="35" t="n"/>
      <c r="F675" s="36" t="n"/>
    </row>
    <row r="676">
      <c r="A676" s="35" t="n"/>
      <c r="B676" s="35" t="n"/>
      <c r="C676" s="36" t="n"/>
      <c r="D676" s="36" t="n"/>
      <c r="E676" s="35" t="n"/>
      <c r="F676" s="36" t="n"/>
    </row>
    <row r="677">
      <c r="A677" s="35" t="n"/>
      <c r="B677" s="35" t="n"/>
      <c r="C677" s="36" t="n"/>
      <c r="D677" s="36" t="n"/>
      <c r="E677" s="35" t="n"/>
      <c r="F677" s="36" t="n"/>
    </row>
    <row r="678">
      <c r="A678" s="35" t="n"/>
      <c r="B678" s="35" t="n"/>
      <c r="C678" s="36" t="n"/>
      <c r="D678" s="36" t="n"/>
      <c r="E678" s="35" t="n"/>
      <c r="F678" s="36" t="n"/>
    </row>
    <row r="679">
      <c r="A679" s="35" t="n"/>
      <c r="B679" s="35" t="n"/>
      <c r="C679" s="36" t="n"/>
      <c r="D679" s="36" t="n"/>
      <c r="E679" s="35" t="n"/>
      <c r="F679" s="36" t="n"/>
    </row>
    <row r="680">
      <c r="A680" s="35" t="n"/>
      <c r="B680" s="35" t="n"/>
      <c r="C680" s="36" t="n"/>
      <c r="D680" s="36" t="n"/>
      <c r="E680" s="35" t="n"/>
      <c r="F680" s="36" t="n"/>
    </row>
    <row r="681">
      <c r="A681" s="35" t="n"/>
      <c r="B681" s="35" t="n"/>
      <c r="C681" s="36" t="n"/>
      <c r="D681" s="36" t="n"/>
      <c r="E681" s="35" t="n"/>
      <c r="F681" s="36" t="n"/>
    </row>
    <row r="682">
      <c r="A682" s="35" t="n"/>
      <c r="B682" s="35" t="n"/>
      <c r="C682" s="36" t="n"/>
      <c r="D682" s="36" t="n"/>
      <c r="E682" s="35" t="n"/>
      <c r="F682" s="36" t="n"/>
    </row>
    <row r="683">
      <c r="A683" s="35" t="n"/>
      <c r="B683" s="35" t="n"/>
      <c r="C683" s="36" t="n"/>
      <c r="D683" s="36" t="n"/>
      <c r="E683" s="35" t="n"/>
      <c r="F683" s="36" t="n"/>
    </row>
    <row r="684">
      <c r="A684" s="35" t="n"/>
      <c r="B684" s="35" t="n"/>
      <c r="C684" s="36" t="n"/>
      <c r="D684" s="36" t="n"/>
      <c r="E684" s="35" t="n"/>
      <c r="F684" s="36" t="n"/>
    </row>
    <row r="685">
      <c r="A685" s="35" t="n"/>
      <c r="B685" s="35" t="n"/>
      <c r="C685" s="36" t="n"/>
      <c r="D685" s="36" t="n"/>
      <c r="E685" s="35" t="n"/>
      <c r="F685" s="36" t="n"/>
    </row>
    <row r="686">
      <c r="A686" s="35" t="n"/>
      <c r="B686" s="35" t="n"/>
      <c r="C686" s="36" t="n"/>
      <c r="D686" s="36" t="n"/>
      <c r="E686" s="35" t="n"/>
      <c r="F686" s="36" t="n"/>
    </row>
    <row r="687">
      <c r="A687" s="35" t="n"/>
      <c r="B687" s="35" t="n"/>
      <c r="C687" s="36" t="n"/>
      <c r="D687" s="36" t="n"/>
      <c r="E687" s="35" t="n"/>
      <c r="F687" s="36" t="n"/>
    </row>
    <row r="688">
      <c r="A688" s="35" t="n"/>
      <c r="B688" s="35" t="n"/>
      <c r="C688" s="36" t="n"/>
      <c r="D688" s="36" t="n"/>
      <c r="E688" s="35" t="n"/>
      <c r="F688" s="36" t="n"/>
    </row>
    <row r="689">
      <c r="A689" s="35" t="n"/>
      <c r="B689" s="35" t="n"/>
      <c r="C689" s="36" t="n"/>
      <c r="D689" s="36" t="n"/>
      <c r="E689" s="35" t="n"/>
      <c r="F689" s="36" t="n"/>
    </row>
    <row r="690">
      <c r="A690" s="35" t="n"/>
      <c r="B690" s="35" t="n"/>
      <c r="C690" s="36" t="n"/>
      <c r="D690" s="36" t="n"/>
      <c r="E690" s="35" t="n"/>
      <c r="F690" s="36" t="n"/>
    </row>
    <row r="691">
      <c r="A691" s="35" t="n"/>
      <c r="B691" s="35" t="n"/>
      <c r="C691" s="36" t="n"/>
      <c r="D691" s="36" t="n"/>
      <c r="E691" s="35" t="n"/>
      <c r="F691" s="36" t="n"/>
    </row>
    <row r="692">
      <c r="A692" s="35" t="n"/>
      <c r="B692" s="35" t="n"/>
      <c r="C692" s="36" t="n"/>
      <c r="D692" s="36" t="n"/>
      <c r="E692" s="35" t="n"/>
      <c r="F692" s="36" t="n"/>
    </row>
    <row r="693">
      <c r="A693" s="35" t="n"/>
      <c r="B693" s="35" t="n"/>
      <c r="C693" s="36" t="n"/>
      <c r="D693" s="36" t="n"/>
      <c r="E693" s="35" t="n"/>
      <c r="F693" s="36" t="n"/>
    </row>
    <row r="694">
      <c r="A694" s="35" t="n"/>
      <c r="B694" s="35" t="n"/>
      <c r="C694" s="36" t="n"/>
      <c r="D694" s="36" t="n"/>
      <c r="E694" s="35" t="n"/>
      <c r="F694" s="36" t="n"/>
    </row>
    <row r="695">
      <c r="A695" s="35" t="n"/>
      <c r="B695" s="35" t="n"/>
      <c r="C695" s="36" t="n"/>
      <c r="D695" s="36" t="n"/>
      <c r="E695" s="35" t="n"/>
      <c r="F695" s="36" t="n"/>
    </row>
    <row r="696">
      <c r="A696" s="35" t="n"/>
      <c r="B696" s="35" t="n"/>
      <c r="C696" s="36" t="n"/>
      <c r="D696" s="36" t="n"/>
      <c r="E696" s="35" t="n"/>
      <c r="F696" s="36" t="n"/>
    </row>
    <row r="697">
      <c r="A697" s="35" t="n"/>
      <c r="B697" s="35" t="n"/>
      <c r="C697" s="36" t="n"/>
      <c r="D697" s="36" t="n"/>
      <c r="E697" s="35" t="n"/>
      <c r="F697" s="36" t="n"/>
    </row>
    <row r="698">
      <c r="A698" s="35" t="n"/>
      <c r="B698" s="35" t="n"/>
      <c r="C698" s="36" t="n"/>
      <c r="D698" s="36" t="n"/>
      <c r="E698" s="35" t="n"/>
      <c r="F698" s="36" t="n"/>
    </row>
    <row r="699">
      <c r="A699" s="35" t="n"/>
      <c r="B699" s="35" t="n"/>
      <c r="C699" s="36" t="n"/>
      <c r="D699" s="36" t="n"/>
      <c r="E699" s="35" t="n"/>
      <c r="F699" s="36" t="n"/>
    </row>
    <row r="700">
      <c r="A700" s="35" t="n"/>
      <c r="B700" s="35" t="n"/>
      <c r="C700" s="36" t="n"/>
      <c r="D700" s="36" t="n"/>
      <c r="E700" s="35" t="n"/>
      <c r="F700" s="36" t="n"/>
    </row>
    <row r="701">
      <c r="A701" s="35" t="n"/>
      <c r="B701" s="35" t="n"/>
      <c r="C701" s="36" t="n"/>
      <c r="D701" s="36" t="n"/>
      <c r="E701" s="35" t="n"/>
      <c r="F701" s="36" t="n"/>
    </row>
    <row r="702">
      <c r="A702" s="35" t="n"/>
      <c r="B702" s="35" t="n"/>
      <c r="C702" s="36" t="n"/>
      <c r="D702" s="36" t="n"/>
      <c r="E702" s="35" t="n"/>
      <c r="F702" s="36" t="n"/>
    </row>
    <row r="703">
      <c r="A703" s="35" t="n"/>
      <c r="B703" s="35" t="n"/>
      <c r="C703" s="36" t="n"/>
      <c r="D703" s="36" t="n"/>
      <c r="E703" s="35" t="n"/>
      <c r="F703" s="36" t="n"/>
    </row>
    <row r="704">
      <c r="A704" s="35" t="n"/>
      <c r="B704" s="35" t="n"/>
      <c r="C704" s="36" t="n"/>
      <c r="D704" s="36" t="n"/>
      <c r="E704" s="35" t="n"/>
      <c r="F704" s="36" t="n"/>
    </row>
    <row r="705">
      <c r="A705" s="35" t="n"/>
      <c r="B705" s="35" t="n"/>
      <c r="C705" s="36" t="n"/>
      <c r="D705" s="36" t="n"/>
      <c r="E705" s="35" t="n"/>
      <c r="F705" s="36" t="n"/>
    </row>
    <row r="706">
      <c r="A706" s="35" t="n"/>
      <c r="B706" s="35" t="n"/>
      <c r="C706" s="36" t="n"/>
      <c r="D706" s="36" t="n"/>
      <c r="E706" s="35" t="n"/>
      <c r="F706" s="36" t="n"/>
    </row>
    <row r="707">
      <c r="A707" s="35" t="n"/>
      <c r="B707" s="35" t="n"/>
      <c r="C707" s="36" t="n"/>
      <c r="D707" s="36" t="n"/>
      <c r="E707" s="35" t="n"/>
      <c r="F707" s="36" t="n"/>
    </row>
    <row r="708">
      <c r="A708" s="35" t="n"/>
      <c r="B708" s="35" t="n"/>
      <c r="C708" s="36" t="n"/>
      <c r="D708" s="36" t="n"/>
      <c r="E708" s="35" t="n"/>
      <c r="F708" s="36" t="n"/>
    </row>
    <row r="709">
      <c r="A709" s="35" t="n"/>
      <c r="B709" s="35" t="n"/>
      <c r="C709" s="36" t="n"/>
      <c r="D709" s="36" t="n"/>
      <c r="E709" s="35" t="n"/>
      <c r="F709" s="36" t="n"/>
    </row>
    <row r="710">
      <c r="A710" s="35" t="n"/>
      <c r="B710" s="35" t="n"/>
      <c r="C710" s="36" t="n"/>
      <c r="D710" s="36" t="n"/>
      <c r="E710" s="35" t="n"/>
      <c r="F710" s="36" t="n"/>
    </row>
    <row r="711">
      <c r="A711" s="35" t="n"/>
      <c r="B711" s="35" t="n"/>
      <c r="C711" s="36" t="n"/>
      <c r="D711" s="36" t="n"/>
      <c r="E711" s="35" t="n"/>
      <c r="F711" s="36" t="n"/>
    </row>
    <row r="712">
      <c r="A712" s="35" t="n"/>
      <c r="B712" s="35" t="n"/>
      <c r="C712" s="36" t="n"/>
      <c r="D712" s="36" t="n"/>
      <c r="E712" s="35" t="n"/>
      <c r="F712" s="36" t="n"/>
    </row>
    <row r="713">
      <c r="A713" s="35" t="n"/>
      <c r="B713" s="35" t="n"/>
      <c r="C713" s="36" t="n"/>
      <c r="D713" s="36" t="n"/>
      <c r="E713" s="35" t="n"/>
      <c r="F713" s="36" t="n"/>
    </row>
    <row r="714">
      <c r="A714" s="35" t="n"/>
      <c r="B714" s="35" t="n"/>
      <c r="C714" s="36" t="n"/>
      <c r="D714" s="36" t="n"/>
      <c r="E714" s="35" t="n"/>
      <c r="F714" s="36" t="n"/>
    </row>
    <row r="715">
      <c r="A715" s="35" t="n"/>
      <c r="B715" s="35" t="n"/>
      <c r="C715" s="36" t="n"/>
      <c r="D715" s="36" t="n"/>
      <c r="E715" s="35" t="n"/>
      <c r="F715" s="36" t="n"/>
    </row>
    <row r="716">
      <c r="A716" s="35" t="n"/>
      <c r="B716" s="35" t="n"/>
      <c r="C716" s="36" t="n"/>
      <c r="D716" s="36" t="n"/>
      <c r="E716" s="35" t="n"/>
      <c r="F716" s="36" t="n"/>
    </row>
    <row r="717">
      <c r="A717" s="35" t="n"/>
      <c r="B717" s="35" t="n"/>
      <c r="C717" s="36" t="n"/>
      <c r="D717" s="36" t="n"/>
      <c r="E717" s="35" t="n"/>
      <c r="F717" s="36" t="n"/>
    </row>
    <row r="718">
      <c r="A718" s="35" t="n"/>
      <c r="B718" s="35" t="n"/>
      <c r="C718" s="36" t="n"/>
      <c r="D718" s="36" t="n"/>
      <c r="E718" s="35" t="n"/>
      <c r="F718" s="36" t="n"/>
    </row>
    <row r="719">
      <c r="A719" s="35" t="n"/>
      <c r="B719" s="35" t="n"/>
      <c r="C719" s="36" t="n"/>
      <c r="D719" s="36" t="n"/>
      <c r="E719" s="35" t="n"/>
      <c r="F719" s="36" t="n"/>
    </row>
    <row r="720">
      <c r="A720" s="35" t="n"/>
      <c r="B720" s="35" t="n"/>
      <c r="C720" s="36" t="n"/>
      <c r="D720" s="36" t="n"/>
      <c r="E720" s="35" t="n"/>
      <c r="F720" s="36" t="n"/>
    </row>
    <row r="721">
      <c r="A721" s="35" t="n"/>
      <c r="B721" s="35" t="n"/>
      <c r="C721" s="36" t="n"/>
      <c r="D721" s="36" t="n"/>
      <c r="E721" s="35" t="n"/>
      <c r="F721" s="36" t="n"/>
    </row>
    <row r="722">
      <c r="A722" s="35" t="n"/>
      <c r="B722" s="35" t="n"/>
      <c r="C722" s="36" t="n"/>
      <c r="D722" s="36" t="n"/>
      <c r="E722" s="35" t="n"/>
      <c r="F722" s="36" t="n"/>
    </row>
    <row r="723">
      <c r="A723" s="35" t="n"/>
      <c r="B723" s="35" t="n"/>
      <c r="C723" s="36" t="n"/>
      <c r="D723" s="36" t="n"/>
      <c r="E723" s="35" t="n"/>
      <c r="F723" s="36" t="n"/>
    </row>
    <row r="724">
      <c r="A724" s="35" t="n"/>
      <c r="B724" s="35" t="n"/>
      <c r="C724" s="36" t="n"/>
      <c r="D724" s="36" t="n"/>
      <c r="E724" s="35" t="n"/>
      <c r="F724" s="36" t="n"/>
    </row>
    <row r="725">
      <c r="A725" s="35" t="n"/>
      <c r="B725" s="35" t="n"/>
      <c r="C725" s="36" t="n"/>
      <c r="D725" s="36" t="n"/>
      <c r="E725" s="35" t="n"/>
      <c r="F725" s="36" t="n"/>
    </row>
    <row r="726">
      <c r="A726" s="35" t="n"/>
      <c r="B726" s="35" t="n"/>
      <c r="C726" s="36" t="n"/>
      <c r="D726" s="36" t="n"/>
      <c r="E726" s="35" t="n"/>
      <c r="F726" s="36" t="n"/>
    </row>
    <row r="727">
      <c r="A727" s="35" t="n"/>
      <c r="B727" s="35" t="n"/>
      <c r="C727" s="36" t="n"/>
      <c r="D727" s="36" t="n"/>
      <c r="E727" s="35" t="n"/>
      <c r="F727" s="36" t="n"/>
    </row>
    <row r="728">
      <c r="A728" s="35" t="n"/>
      <c r="B728" s="35" t="n"/>
      <c r="C728" s="36" t="n"/>
      <c r="D728" s="36" t="n"/>
      <c r="E728" s="35" t="n"/>
      <c r="F728" s="36" t="n"/>
    </row>
    <row r="729">
      <c r="A729" s="35" t="n"/>
      <c r="B729" s="35" t="n"/>
      <c r="C729" s="36" t="n"/>
      <c r="D729" s="36" t="n"/>
      <c r="E729" s="35" t="n"/>
      <c r="F729" s="36" t="n"/>
    </row>
    <row r="730">
      <c r="A730" s="35" t="n"/>
      <c r="B730" s="35" t="n"/>
      <c r="C730" s="36" t="n"/>
      <c r="D730" s="36" t="n"/>
      <c r="E730" s="35" t="n"/>
      <c r="F730" s="36" t="n"/>
    </row>
    <row r="731">
      <c r="A731" s="35" t="n"/>
      <c r="B731" s="35" t="n"/>
      <c r="C731" s="36" t="n"/>
      <c r="D731" s="36" t="n"/>
      <c r="E731" s="35" t="n"/>
      <c r="F731" s="36" t="n"/>
    </row>
    <row r="732">
      <c r="A732" s="35" t="n"/>
      <c r="B732" s="35" t="n"/>
      <c r="C732" s="36" t="n"/>
      <c r="D732" s="36" t="n"/>
      <c r="E732" s="35" t="n"/>
      <c r="F732" s="36" t="n"/>
    </row>
    <row r="733">
      <c r="A733" s="35" t="n"/>
      <c r="B733" s="35" t="n"/>
      <c r="C733" s="36" t="n"/>
      <c r="D733" s="36" t="n"/>
      <c r="E733" s="35" t="n"/>
      <c r="F733" s="36" t="n"/>
    </row>
    <row r="734">
      <c r="A734" s="35" t="n"/>
      <c r="B734" s="35" t="n"/>
      <c r="C734" s="36" t="n"/>
      <c r="D734" s="36" t="n"/>
      <c r="E734" s="35" t="n"/>
      <c r="F734" s="36" t="n"/>
    </row>
    <row r="735">
      <c r="A735" s="35" t="n"/>
      <c r="B735" s="35" t="n"/>
      <c r="C735" s="36" t="n"/>
      <c r="D735" s="36" t="n"/>
      <c r="E735" s="35" t="n"/>
      <c r="F735" s="36" t="n"/>
    </row>
    <row r="736">
      <c r="A736" s="35" t="n"/>
      <c r="B736" s="35" t="n"/>
      <c r="C736" s="36" t="n"/>
      <c r="D736" s="36" t="n"/>
      <c r="E736" s="35" t="n"/>
      <c r="F736" s="36" t="n"/>
    </row>
    <row r="737">
      <c r="A737" s="35" t="n"/>
      <c r="B737" s="35" t="n"/>
      <c r="C737" s="36" t="n"/>
      <c r="D737" s="36" t="n"/>
      <c r="E737" s="35" t="n"/>
      <c r="F737" s="36" t="n"/>
    </row>
    <row r="738">
      <c r="A738" s="35" t="n"/>
      <c r="B738" s="35" t="n"/>
      <c r="C738" s="36" t="n"/>
      <c r="D738" s="36" t="n"/>
      <c r="E738" s="35" t="n"/>
      <c r="F738" s="36" t="n"/>
    </row>
    <row r="739">
      <c r="A739" s="35" t="n"/>
      <c r="B739" s="35" t="n"/>
      <c r="C739" s="36" t="n"/>
      <c r="D739" s="36" t="n"/>
      <c r="E739" s="35" t="n"/>
      <c r="F739" s="36" t="n"/>
    </row>
    <row r="740">
      <c r="A740" s="35" t="n"/>
      <c r="B740" s="35" t="n"/>
      <c r="C740" s="36" t="n"/>
      <c r="D740" s="36" t="n"/>
      <c r="E740" s="35" t="n"/>
      <c r="F740" s="36" t="n"/>
    </row>
    <row r="741">
      <c r="A741" s="35" t="n"/>
      <c r="B741" s="35" t="n"/>
      <c r="C741" s="36" t="n"/>
      <c r="D741" s="36" t="n"/>
      <c r="E741" s="35" t="n"/>
      <c r="F741" s="36" t="n"/>
    </row>
    <row r="742">
      <c r="A742" s="35" t="n"/>
      <c r="B742" s="35" t="n"/>
      <c r="C742" s="36" t="n"/>
      <c r="D742" s="36" t="n"/>
      <c r="E742" s="35" t="n"/>
      <c r="F742" s="36" t="n"/>
    </row>
    <row r="743">
      <c r="A743" s="35" t="n"/>
      <c r="B743" s="35" t="n"/>
      <c r="C743" s="36" t="n"/>
      <c r="D743" s="36" t="n"/>
      <c r="E743" s="35" t="n"/>
      <c r="F743" s="36" t="n"/>
    </row>
    <row r="744">
      <c r="A744" s="35" t="n"/>
      <c r="B744" s="35" t="n"/>
      <c r="C744" s="36" t="n"/>
      <c r="D744" s="36" t="n"/>
      <c r="E744" s="35" t="n"/>
      <c r="F744" s="36" t="n"/>
    </row>
    <row r="745">
      <c r="A745" s="35" t="n"/>
      <c r="B745" s="35" t="n"/>
      <c r="C745" s="36" t="n"/>
      <c r="D745" s="36" t="n"/>
      <c r="E745" s="35" t="n"/>
      <c r="F745" s="36" t="n"/>
    </row>
    <row r="746">
      <c r="A746" s="35" t="n"/>
      <c r="B746" s="35" t="n"/>
      <c r="C746" s="36" t="n"/>
      <c r="D746" s="36" t="n"/>
      <c r="E746" s="35" t="n"/>
      <c r="F746" s="36" t="n"/>
    </row>
    <row r="747">
      <c r="A747" s="35" t="n"/>
      <c r="B747" s="35" t="n"/>
      <c r="C747" s="36" t="n"/>
      <c r="D747" s="36" t="n"/>
      <c r="E747" s="35" t="n"/>
      <c r="F747" s="36" t="n"/>
    </row>
    <row r="748">
      <c r="A748" s="35" t="n"/>
      <c r="B748" s="35" t="n"/>
      <c r="C748" s="36" t="n"/>
      <c r="D748" s="36" t="n"/>
      <c r="E748" s="35" t="n"/>
      <c r="F748" s="36" t="n"/>
    </row>
    <row r="749">
      <c r="A749" s="35" t="n"/>
      <c r="B749" s="35" t="n"/>
      <c r="C749" s="36" t="n"/>
      <c r="D749" s="36" t="n"/>
      <c r="E749" s="35" t="n"/>
      <c r="F749" s="36" t="n"/>
    </row>
    <row r="750">
      <c r="A750" s="35" t="n"/>
      <c r="B750" s="35" t="n"/>
      <c r="C750" s="36" t="n"/>
      <c r="D750" s="36" t="n"/>
      <c r="E750" s="35" t="n"/>
      <c r="F750" s="36" t="n"/>
    </row>
    <row r="751">
      <c r="A751" s="35" t="n"/>
      <c r="B751" s="35" t="n"/>
      <c r="C751" s="36" t="n"/>
      <c r="D751" s="36" t="n"/>
      <c r="E751" s="35" t="n"/>
      <c r="F751" s="36" t="n"/>
    </row>
    <row r="752">
      <c r="A752" s="35" t="n"/>
      <c r="B752" s="35" t="n"/>
      <c r="C752" s="36" t="n"/>
      <c r="D752" s="36" t="n"/>
      <c r="E752" s="35" t="n"/>
      <c r="F752" s="36" t="n"/>
    </row>
    <row r="753">
      <c r="A753" s="35" t="n"/>
      <c r="B753" s="35" t="n"/>
      <c r="C753" s="36" t="n"/>
      <c r="D753" s="36" t="n"/>
      <c r="E753" s="35" t="n"/>
      <c r="F753" s="36" t="n"/>
    </row>
    <row r="754">
      <c r="A754" s="35" t="n"/>
      <c r="B754" s="35" t="n"/>
      <c r="C754" s="36" t="n"/>
      <c r="D754" s="36" t="n"/>
      <c r="E754" s="35" t="n"/>
      <c r="F754" s="36" t="n"/>
    </row>
    <row r="755">
      <c r="A755" s="35" t="n"/>
      <c r="B755" s="35" t="n"/>
      <c r="C755" s="36" t="n"/>
      <c r="D755" s="36" t="n"/>
      <c r="E755" s="35" t="n"/>
      <c r="F755" s="36" t="n"/>
    </row>
    <row r="756">
      <c r="A756" s="35" t="n"/>
      <c r="B756" s="35" t="n"/>
      <c r="C756" s="36" t="n"/>
      <c r="D756" s="36" t="n"/>
      <c r="E756" s="35" t="n"/>
      <c r="F756" s="36" t="n"/>
    </row>
    <row r="757">
      <c r="A757" s="35" t="n"/>
      <c r="B757" s="35" t="n"/>
      <c r="C757" s="36" t="n"/>
      <c r="D757" s="36" t="n"/>
      <c r="E757" s="35" t="n"/>
      <c r="F757" s="36" t="n"/>
    </row>
    <row r="758">
      <c r="A758" s="35" t="n"/>
      <c r="B758" s="35" t="n"/>
      <c r="C758" s="36" t="n"/>
      <c r="D758" s="36" t="n"/>
      <c r="E758" s="35" t="n"/>
      <c r="F758" s="36" t="n"/>
    </row>
    <row r="759">
      <c r="A759" s="35" t="n"/>
      <c r="B759" s="35" t="n"/>
      <c r="C759" s="36" t="n"/>
      <c r="D759" s="36" t="n"/>
      <c r="E759" s="35" t="n"/>
      <c r="F759" s="36" t="n"/>
    </row>
    <row r="760">
      <c r="A760" s="35" t="n"/>
      <c r="B760" s="35" t="n"/>
      <c r="C760" s="36" t="n"/>
      <c r="D760" s="36" t="n"/>
      <c r="E760" s="35" t="n"/>
      <c r="F760" s="36" t="n"/>
    </row>
    <row r="761">
      <c r="A761" s="35" t="n"/>
      <c r="B761" s="35" t="n"/>
      <c r="C761" s="36" t="n"/>
      <c r="D761" s="36" t="n"/>
      <c r="E761" s="35" t="n"/>
      <c r="F761" s="36" t="n"/>
    </row>
    <row r="762">
      <c r="A762" s="35" t="n"/>
      <c r="B762" s="35" t="n"/>
      <c r="C762" s="36" t="n"/>
      <c r="D762" s="36" t="n"/>
      <c r="E762" s="35" t="n"/>
      <c r="F762" s="36" t="n"/>
    </row>
    <row r="763">
      <c r="A763" s="35" t="n"/>
      <c r="B763" s="35" t="n"/>
      <c r="C763" s="36" t="n"/>
      <c r="D763" s="36" t="n"/>
      <c r="E763" s="35" t="n"/>
      <c r="F763" s="36" t="n"/>
    </row>
    <row r="764">
      <c r="A764" s="35" t="n"/>
      <c r="B764" s="35" t="n"/>
      <c r="C764" s="36" t="n"/>
      <c r="D764" s="36" t="n"/>
      <c r="E764" s="35" t="n"/>
      <c r="F764" s="36" t="n"/>
    </row>
    <row r="765">
      <c r="A765" s="35" t="n"/>
      <c r="B765" s="35" t="n"/>
      <c r="C765" s="36" t="n"/>
      <c r="D765" s="36" t="n"/>
      <c r="E765" s="35" t="n"/>
      <c r="F765" s="36" t="n"/>
    </row>
    <row r="766">
      <c r="A766" s="35" t="n"/>
      <c r="B766" s="35" t="n"/>
      <c r="C766" s="36" t="n"/>
      <c r="D766" s="36" t="n"/>
      <c r="E766" s="35" t="n"/>
      <c r="F766" s="36" t="n"/>
    </row>
    <row r="767">
      <c r="A767" s="35" t="n"/>
      <c r="B767" s="35" t="n"/>
      <c r="C767" s="36" t="n"/>
      <c r="D767" s="36" t="n"/>
      <c r="E767" s="35" t="n"/>
      <c r="F767" s="36" t="n"/>
    </row>
    <row r="768">
      <c r="A768" s="35" t="n"/>
      <c r="B768" s="35" t="n"/>
      <c r="C768" s="36" t="n"/>
      <c r="D768" s="36" t="n"/>
      <c r="E768" s="35" t="n"/>
      <c r="F768" s="36" t="n"/>
    </row>
    <row r="769">
      <c r="A769" s="35" t="n"/>
      <c r="B769" s="35" t="n"/>
      <c r="C769" s="36" t="n"/>
      <c r="D769" s="36" t="n"/>
      <c r="E769" s="35" t="n"/>
      <c r="F769" s="36" t="n"/>
    </row>
    <row r="770">
      <c r="A770" s="35" t="n"/>
      <c r="B770" s="35" t="n"/>
      <c r="C770" s="36" t="n"/>
      <c r="D770" s="36" t="n"/>
      <c r="E770" s="35" t="n"/>
      <c r="F770" s="36" t="n"/>
    </row>
    <row r="771">
      <c r="A771" s="35" t="n"/>
      <c r="B771" s="35" t="n"/>
      <c r="C771" s="36" t="n"/>
      <c r="D771" s="36" t="n"/>
      <c r="E771" s="35" t="n"/>
      <c r="F771" s="36" t="n"/>
    </row>
    <row r="772">
      <c r="A772" s="35" t="n"/>
      <c r="B772" s="35" t="n"/>
      <c r="C772" s="36" t="n"/>
      <c r="D772" s="36" t="n"/>
      <c r="E772" s="35" t="n"/>
      <c r="F772" s="36" t="n"/>
    </row>
    <row r="773">
      <c r="A773" s="35" t="n"/>
      <c r="B773" s="35" t="n"/>
      <c r="C773" s="36" t="n"/>
      <c r="D773" s="36" t="n"/>
      <c r="E773" s="35" t="n"/>
      <c r="F773" s="36" t="n"/>
    </row>
    <row r="774">
      <c r="A774" s="35" t="n"/>
      <c r="B774" s="35" t="n"/>
      <c r="C774" s="36" t="n"/>
      <c r="D774" s="36" t="n"/>
      <c r="E774" s="35" t="n"/>
      <c r="F774" s="36" t="n"/>
    </row>
    <row r="775">
      <c r="A775" s="35" t="n"/>
      <c r="B775" s="35" t="n"/>
      <c r="C775" s="36" t="n"/>
      <c r="D775" s="36" t="n"/>
      <c r="E775" s="35" t="n"/>
      <c r="F775" s="36" t="n"/>
    </row>
    <row r="776">
      <c r="A776" s="35" t="n"/>
      <c r="B776" s="35" t="n"/>
      <c r="C776" s="36" t="n"/>
      <c r="D776" s="36" t="n"/>
      <c r="E776" s="35" t="n"/>
      <c r="F776" s="36" t="n"/>
    </row>
    <row r="777">
      <c r="A777" s="35" t="n"/>
      <c r="B777" s="35" t="n"/>
      <c r="C777" s="36" t="n"/>
      <c r="D777" s="36" t="n"/>
      <c r="E777" s="35" t="n"/>
      <c r="F777" s="36" t="n"/>
    </row>
    <row r="778">
      <c r="A778" s="35" t="n"/>
      <c r="B778" s="35" t="n"/>
      <c r="C778" s="36" t="n"/>
      <c r="D778" s="36" t="n"/>
      <c r="E778" s="35" t="n"/>
      <c r="F778" s="36" t="n"/>
    </row>
    <row r="779">
      <c r="A779" s="35" t="n"/>
      <c r="B779" s="35" t="n"/>
      <c r="C779" s="36" t="n"/>
      <c r="D779" s="36" t="n"/>
      <c r="E779" s="35" t="n"/>
      <c r="F779" s="36" t="n"/>
    </row>
    <row r="780">
      <c r="A780" s="35" t="n"/>
      <c r="B780" s="35" t="n"/>
      <c r="C780" s="36" t="n"/>
      <c r="D780" s="36" t="n"/>
      <c r="E780" s="35" t="n"/>
      <c r="F780" s="36" t="n"/>
    </row>
    <row r="781">
      <c r="A781" s="35" t="n"/>
      <c r="B781" s="35" t="n"/>
      <c r="C781" s="36" t="n"/>
      <c r="D781" s="36" t="n"/>
      <c r="E781" s="35" t="n"/>
      <c r="F781" s="36" t="n"/>
    </row>
    <row r="782">
      <c r="A782" s="35" t="n"/>
      <c r="B782" s="35" t="n"/>
      <c r="C782" s="36" t="n"/>
      <c r="D782" s="36" t="n"/>
      <c r="E782" s="35" t="n"/>
      <c r="F782" s="36" t="n"/>
    </row>
    <row r="783">
      <c r="A783" s="35" t="n"/>
      <c r="B783" s="35" t="n"/>
      <c r="C783" s="36" t="n"/>
      <c r="D783" s="36" t="n"/>
      <c r="E783" s="35" t="n"/>
      <c r="F783" s="36" t="n"/>
    </row>
    <row r="784">
      <c r="A784" s="35" t="n"/>
      <c r="B784" s="35" t="n"/>
      <c r="C784" s="36" t="n"/>
      <c r="D784" s="36" t="n"/>
      <c r="E784" s="35" t="n"/>
      <c r="F784" s="36" t="n"/>
    </row>
    <row r="785">
      <c r="A785" s="35" t="n"/>
      <c r="B785" s="35" t="n"/>
      <c r="C785" s="36" t="n"/>
      <c r="D785" s="36" t="n"/>
      <c r="E785" s="35" t="n"/>
      <c r="F785" s="36" t="n"/>
    </row>
    <row r="786">
      <c r="A786" s="35" t="n"/>
      <c r="B786" s="35" t="n"/>
      <c r="C786" s="36" t="n"/>
      <c r="D786" s="36" t="n"/>
      <c r="E786" s="35" t="n"/>
      <c r="F786" s="36" t="n"/>
    </row>
    <row r="787">
      <c r="A787" s="35" t="n"/>
      <c r="B787" s="35" t="n"/>
      <c r="C787" s="36" t="n"/>
      <c r="D787" s="36" t="n"/>
      <c r="E787" s="35" t="n"/>
      <c r="F787" s="36" t="n"/>
    </row>
    <row r="788">
      <c r="A788" s="35" t="n"/>
      <c r="B788" s="35" t="n"/>
      <c r="C788" s="36" t="n"/>
      <c r="D788" s="36" t="n"/>
      <c r="E788" s="35" t="n"/>
      <c r="F788" s="36" t="n"/>
    </row>
    <row r="789">
      <c r="A789" s="35" t="n"/>
      <c r="B789" s="35" t="n"/>
      <c r="C789" s="36" t="n"/>
      <c r="D789" s="36" t="n"/>
      <c r="E789" s="35" t="n"/>
      <c r="F789" s="36" t="n"/>
    </row>
    <row r="790">
      <c r="A790" s="35" t="n"/>
      <c r="B790" s="35" t="n"/>
      <c r="C790" s="36" t="n"/>
      <c r="D790" s="36" t="n"/>
      <c r="E790" s="35" t="n"/>
      <c r="F790" s="36" t="n"/>
    </row>
    <row r="791">
      <c r="A791" s="35" t="n"/>
      <c r="B791" s="35" t="n"/>
      <c r="C791" s="36" t="n"/>
      <c r="D791" s="36" t="n"/>
      <c r="E791" s="35" t="n"/>
      <c r="F791" s="36" t="n"/>
    </row>
    <row r="792">
      <c r="A792" s="35" t="n"/>
      <c r="B792" s="35" t="n"/>
      <c r="C792" s="36" t="n"/>
      <c r="D792" s="36" t="n"/>
      <c r="E792" s="35" t="n"/>
      <c r="F792" s="36" t="n"/>
    </row>
    <row r="793">
      <c r="A793" s="35" t="n"/>
      <c r="B793" s="35" t="n"/>
      <c r="C793" s="36" t="n"/>
      <c r="D793" s="36" t="n"/>
      <c r="E793" s="35" t="n"/>
      <c r="F793" s="36" t="n"/>
    </row>
    <row r="794">
      <c r="A794" s="35" t="n"/>
      <c r="B794" s="35" t="n"/>
      <c r="C794" s="36" t="n"/>
      <c r="D794" s="36" t="n"/>
      <c r="E794" s="35" t="n"/>
      <c r="F794" s="36" t="n"/>
    </row>
    <row r="795">
      <c r="A795" s="35" t="n"/>
      <c r="B795" s="35" t="n"/>
      <c r="C795" s="36" t="n"/>
      <c r="D795" s="36" t="n"/>
      <c r="E795" s="35" t="n"/>
      <c r="F795" s="36" t="n"/>
    </row>
    <row r="796">
      <c r="A796" s="35" t="n"/>
      <c r="B796" s="35" t="n"/>
      <c r="C796" s="36" t="n"/>
      <c r="D796" s="36" t="n"/>
      <c r="E796" s="35" t="n"/>
      <c r="F796" s="36" t="n"/>
    </row>
    <row r="797">
      <c r="A797" s="35" t="n"/>
      <c r="B797" s="35" t="n"/>
      <c r="C797" s="36" t="n"/>
      <c r="D797" s="36" t="n"/>
      <c r="E797" s="35" t="n"/>
      <c r="F797" s="36" t="n"/>
    </row>
    <row r="798">
      <c r="A798" s="35" t="n"/>
      <c r="B798" s="35" t="n"/>
      <c r="C798" s="36" t="n"/>
      <c r="D798" s="36" t="n"/>
      <c r="E798" s="35" t="n"/>
      <c r="F798" s="36" t="n"/>
    </row>
    <row r="799">
      <c r="A799" s="35" t="n"/>
      <c r="B799" s="35" t="n"/>
      <c r="C799" s="36" t="n"/>
      <c r="D799" s="36" t="n"/>
      <c r="E799" s="35" t="n"/>
      <c r="F799" s="36" t="n"/>
    </row>
    <row r="800">
      <c r="A800" s="35" t="n"/>
      <c r="B800" s="35" t="n"/>
      <c r="C800" s="36" t="n"/>
      <c r="D800" s="36" t="n"/>
      <c r="E800" s="35" t="n"/>
      <c r="F800" s="36" t="n"/>
    </row>
    <row r="801">
      <c r="A801" s="35" t="n"/>
      <c r="B801" s="35" t="n"/>
      <c r="C801" s="36" t="n"/>
      <c r="D801" s="36" t="n"/>
      <c r="E801" s="35" t="n"/>
      <c r="F801" s="36" t="n"/>
    </row>
    <row r="802">
      <c r="A802" s="35" t="n"/>
      <c r="B802" s="35" t="n"/>
      <c r="C802" s="36" t="n"/>
      <c r="D802" s="36" t="n"/>
      <c r="E802" s="35" t="n"/>
      <c r="F802" s="36" t="n"/>
    </row>
    <row r="803">
      <c r="A803" s="35" t="n"/>
      <c r="B803" s="35" t="n"/>
      <c r="C803" s="36" t="n"/>
      <c r="D803" s="36" t="n"/>
      <c r="E803" s="35" t="n"/>
      <c r="F803" s="36" t="n"/>
    </row>
    <row r="804">
      <c r="A804" s="35" t="n"/>
      <c r="B804" s="35" t="n"/>
      <c r="C804" s="36" t="n"/>
      <c r="D804" s="36" t="n"/>
      <c r="E804" s="35" t="n"/>
      <c r="F804" s="36" t="n"/>
    </row>
    <row r="805">
      <c r="A805" s="35" t="n"/>
      <c r="B805" s="35" t="n"/>
      <c r="C805" s="36" t="n"/>
      <c r="D805" s="36" t="n"/>
      <c r="E805" s="35" t="n"/>
      <c r="F805" s="36" t="n"/>
    </row>
    <row r="806">
      <c r="A806" s="35" t="n"/>
      <c r="B806" s="35" t="n"/>
      <c r="C806" s="36" t="n"/>
      <c r="D806" s="36" t="n"/>
      <c r="E806" s="35" t="n"/>
      <c r="F806" s="36" t="n"/>
    </row>
    <row r="807">
      <c r="A807" s="35" t="n"/>
      <c r="B807" s="35" t="n"/>
      <c r="C807" s="36" t="n"/>
      <c r="D807" s="36" t="n"/>
      <c r="E807" s="35" t="n"/>
      <c r="F807" s="36" t="n"/>
    </row>
    <row r="808">
      <c r="A808" s="35" t="n"/>
      <c r="B808" s="35" t="n"/>
      <c r="C808" s="36" t="n"/>
      <c r="D808" s="36" t="n"/>
      <c r="E808" s="35" t="n"/>
      <c r="F808" s="36" t="n"/>
    </row>
    <row r="809">
      <c r="A809" s="35" t="n"/>
      <c r="B809" s="35" t="n"/>
      <c r="C809" s="36" t="n"/>
      <c r="D809" s="36" t="n"/>
      <c r="E809" s="35" t="n"/>
      <c r="F809" s="36" t="n"/>
    </row>
    <row r="810">
      <c r="A810" s="35" t="n"/>
      <c r="B810" s="35" t="n"/>
      <c r="C810" s="36" t="n"/>
      <c r="D810" s="36" t="n"/>
      <c r="E810" s="35" t="n"/>
      <c r="F810" s="36" t="n"/>
    </row>
    <row r="811">
      <c r="A811" s="35" t="n"/>
      <c r="B811" s="35" t="n"/>
      <c r="C811" s="36" t="n"/>
      <c r="D811" s="36" t="n"/>
      <c r="E811" s="35" t="n"/>
      <c r="F811" s="36" t="n"/>
    </row>
    <row r="812">
      <c r="A812" s="35" t="n"/>
      <c r="B812" s="35" t="n"/>
      <c r="C812" s="36" t="n"/>
      <c r="D812" s="36" t="n"/>
      <c r="E812" s="35" t="n"/>
      <c r="F812" s="36" t="n"/>
    </row>
    <row r="813">
      <c r="A813" s="35" t="n"/>
      <c r="B813" s="35" t="n"/>
      <c r="C813" s="36" t="n"/>
      <c r="D813" s="36" t="n"/>
      <c r="E813" s="35" t="n"/>
      <c r="F813" s="36" t="n"/>
    </row>
    <row r="814">
      <c r="A814" s="35" t="n"/>
      <c r="B814" s="35" t="n"/>
      <c r="C814" s="36" t="n"/>
      <c r="D814" s="36" t="n"/>
      <c r="E814" s="35" t="n"/>
      <c r="F814" s="36" t="n"/>
    </row>
    <row r="815">
      <c r="A815" s="35" t="n"/>
      <c r="B815" s="35" t="n"/>
      <c r="C815" s="36" t="n"/>
      <c r="D815" s="36" t="n"/>
      <c r="E815" s="35" t="n"/>
      <c r="F815" s="36" t="n"/>
    </row>
    <row r="816">
      <c r="A816" s="35" t="n"/>
      <c r="B816" s="35" t="n"/>
      <c r="C816" s="36" t="n"/>
      <c r="D816" s="36" t="n"/>
      <c r="E816" s="35" t="n"/>
      <c r="F816" s="36" t="n"/>
    </row>
    <row r="817">
      <c r="A817" s="35" t="n"/>
      <c r="B817" s="35" t="n"/>
      <c r="C817" s="36" t="n"/>
      <c r="D817" s="36" t="n"/>
      <c r="E817" s="35" t="n"/>
      <c r="F817" s="36" t="n"/>
    </row>
    <row r="818">
      <c r="A818" s="35" t="n"/>
      <c r="B818" s="35" t="n"/>
      <c r="C818" s="36" t="n"/>
      <c r="D818" s="36" t="n"/>
      <c r="E818" s="35" t="n"/>
      <c r="F818" s="36" t="n"/>
    </row>
    <row r="819">
      <c r="A819" s="35" t="n"/>
      <c r="B819" s="35" t="n"/>
      <c r="C819" s="36" t="n"/>
      <c r="D819" s="36" t="n"/>
      <c r="E819" s="35" t="n"/>
      <c r="F819" s="36" t="n"/>
    </row>
    <row r="820">
      <c r="A820" s="35" t="n"/>
      <c r="B820" s="35" t="n"/>
      <c r="C820" s="36" t="n"/>
      <c r="D820" s="36" t="n"/>
      <c r="E820" s="35" t="n"/>
      <c r="F820" s="36" t="n"/>
    </row>
    <row r="821">
      <c r="A821" s="35" t="n"/>
      <c r="B821" s="35" t="n"/>
      <c r="C821" s="36" t="n"/>
      <c r="D821" s="36" t="n"/>
      <c r="E821" s="35" t="n"/>
      <c r="F821" s="36" t="n"/>
    </row>
    <row r="822">
      <c r="A822" s="35" t="n"/>
      <c r="B822" s="35" t="n"/>
      <c r="C822" s="36" t="n"/>
      <c r="D822" s="36" t="n"/>
      <c r="E822" s="35" t="n"/>
      <c r="F822" s="36" t="n"/>
    </row>
    <row r="823">
      <c r="A823" s="35" t="n"/>
      <c r="B823" s="35" t="n"/>
      <c r="C823" s="36" t="n"/>
      <c r="D823" s="36" t="n"/>
      <c r="E823" s="35" t="n"/>
      <c r="F823" s="36" t="n"/>
    </row>
    <row r="824">
      <c r="A824" s="35" t="n"/>
      <c r="B824" s="35" t="n"/>
      <c r="C824" s="36" t="n"/>
      <c r="D824" s="36" t="n"/>
      <c r="E824" s="35" t="n"/>
      <c r="F824" s="36" t="n"/>
    </row>
    <row r="825">
      <c r="A825" s="35" t="n"/>
      <c r="B825" s="35" t="n"/>
      <c r="C825" s="36" t="n"/>
      <c r="D825" s="36" t="n"/>
      <c r="E825" s="35" t="n"/>
      <c r="F825" s="36" t="n"/>
    </row>
    <row r="826">
      <c r="A826" s="35" t="n"/>
      <c r="B826" s="35" t="n"/>
      <c r="C826" s="36" t="n"/>
      <c r="D826" s="36" t="n"/>
      <c r="E826" s="35" t="n"/>
      <c r="F826" s="36" t="n"/>
    </row>
    <row r="827">
      <c r="A827" s="35" t="n"/>
      <c r="B827" s="35" t="n"/>
      <c r="C827" s="36" t="n"/>
      <c r="D827" s="36" t="n"/>
      <c r="E827" s="35" t="n"/>
      <c r="F827" s="36" t="n"/>
    </row>
    <row r="828">
      <c r="A828" s="35" t="n"/>
      <c r="B828" s="35" t="n"/>
      <c r="C828" s="36" t="n"/>
      <c r="D828" s="36" t="n"/>
      <c r="E828" s="35" t="n"/>
      <c r="F828" s="36" t="n"/>
    </row>
    <row r="829">
      <c r="A829" s="35" t="n"/>
      <c r="B829" s="35" t="n"/>
      <c r="C829" s="36" t="n"/>
      <c r="D829" s="36" t="n"/>
      <c r="E829" s="35" t="n"/>
      <c r="F829" s="36" t="n"/>
    </row>
    <row r="830">
      <c r="A830" s="35" t="n"/>
      <c r="B830" s="35" t="n"/>
      <c r="C830" s="36" t="n"/>
      <c r="D830" s="36" t="n"/>
      <c r="E830" s="35" t="n"/>
      <c r="F830" s="36" t="n"/>
    </row>
    <row r="831">
      <c r="A831" s="35" t="n"/>
      <c r="B831" s="35" t="n"/>
      <c r="C831" s="36" t="n"/>
      <c r="D831" s="36" t="n"/>
      <c r="E831" s="35" t="n"/>
      <c r="F831" s="36" t="n"/>
    </row>
    <row r="832">
      <c r="A832" s="35" t="n"/>
      <c r="B832" s="35" t="n"/>
      <c r="C832" s="36" t="n"/>
      <c r="D832" s="36" t="n"/>
      <c r="E832" s="35" t="n"/>
      <c r="F832" s="36" t="n"/>
    </row>
    <row r="833">
      <c r="A833" s="35" t="n"/>
      <c r="B833" s="35" t="n"/>
      <c r="C833" s="36" t="n"/>
      <c r="D833" s="36" t="n"/>
      <c r="E833" s="35" t="n"/>
      <c r="F833" s="36" t="n"/>
    </row>
    <row r="834">
      <c r="A834" s="35" t="n"/>
      <c r="B834" s="35" t="n"/>
      <c r="C834" s="36" t="n"/>
      <c r="D834" s="36" t="n"/>
      <c r="E834" s="35" t="n"/>
      <c r="F834" s="36" t="n"/>
    </row>
    <row r="835">
      <c r="A835" s="35" t="n"/>
      <c r="B835" s="35" t="n"/>
      <c r="C835" s="36" t="n"/>
      <c r="D835" s="36" t="n"/>
      <c r="E835" s="35" t="n"/>
      <c r="F835" s="36" t="n"/>
    </row>
    <row r="836">
      <c r="A836" s="35" t="n"/>
      <c r="B836" s="35" t="n"/>
      <c r="C836" s="36" t="n"/>
      <c r="D836" s="36" t="n"/>
      <c r="E836" s="35" t="n"/>
      <c r="F836" s="36" t="n"/>
    </row>
    <row r="837">
      <c r="A837" s="35" t="n"/>
      <c r="B837" s="35" t="n"/>
      <c r="C837" s="36" t="n"/>
      <c r="D837" s="36" t="n"/>
      <c r="E837" s="35" t="n"/>
      <c r="F837" s="36" t="n"/>
    </row>
    <row r="838">
      <c r="A838" s="35" t="n"/>
      <c r="B838" s="35" t="n"/>
      <c r="C838" s="36" t="n"/>
      <c r="D838" s="36" t="n"/>
      <c r="E838" s="35" t="n"/>
      <c r="F838" s="36" t="n"/>
    </row>
    <row r="839">
      <c r="A839" s="35" t="n"/>
      <c r="B839" s="35" t="n"/>
      <c r="C839" s="36" t="n"/>
      <c r="D839" s="36" t="n"/>
      <c r="E839" s="35" t="n"/>
      <c r="F839" s="36" t="n"/>
    </row>
    <row r="840">
      <c r="A840" s="35" t="n"/>
      <c r="B840" s="35" t="n"/>
      <c r="C840" s="36" t="n"/>
      <c r="D840" s="36" t="n"/>
      <c r="E840" s="35" t="n"/>
      <c r="F840" s="36" t="n"/>
    </row>
    <row r="841">
      <c r="A841" s="35" t="n"/>
      <c r="B841" s="35" t="n"/>
      <c r="C841" s="36" t="n"/>
      <c r="D841" s="36" t="n"/>
      <c r="E841" s="35" t="n"/>
      <c r="F841" s="36" t="n"/>
    </row>
    <row r="842">
      <c r="A842" s="35" t="n"/>
      <c r="B842" s="35" t="n"/>
      <c r="C842" s="36" t="n"/>
      <c r="D842" s="36" t="n"/>
      <c r="E842" s="35" t="n"/>
      <c r="F842" s="36" t="n"/>
    </row>
    <row r="843">
      <c r="A843" s="35" t="n"/>
      <c r="B843" s="35" t="n"/>
      <c r="C843" s="36" t="n"/>
      <c r="D843" s="36" t="n"/>
      <c r="E843" s="35" t="n"/>
      <c r="F843" s="36" t="n"/>
    </row>
    <row r="844">
      <c r="A844" s="35" t="n"/>
      <c r="B844" s="35" t="n"/>
      <c r="C844" s="36" t="n"/>
      <c r="D844" s="36" t="n"/>
      <c r="E844" s="35" t="n"/>
      <c r="F844" s="36" t="n"/>
    </row>
    <row r="845">
      <c r="A845" s="35" t="n"/>
      <c r="B845" s="35" t="n"/>
      <c r="C845" s="36" t="n"/>
      <c r="D845" s="36" t="n"/>
      <c r="E845" s="35" t="n"/>
      <c r="F845" s="36" t="n"/>
    </row>
    <row r="846">
      <c r="A846" s="35" t="n"/>
      <c r="B846" s="35" t="n"/>
      <c r="C846" s="36" t="n"/>
      <c r="D846" s="36" t="n"/>
      <c r="E846" s="35" t="n"/>
      <c r="F846" s="36" t="n"/>
    </row>
    <row r="847">
      <c r="A847" s="35" t="n"/>
      <c r="B847" s="35" t="n"/>
      <c r="C847" s="36" t="n"/>
      <c r="D847" s="36" t="n"/>
      <c r="E847" s="35" t="n"/>
      <c r="F847" s="36" t="n"/>
    </row>
    <row r="848">
      <c r="A848" s="35" t="n"/>
      <c r="B848" s="35" t="n"/>
      <c r="C848" s="36" t="n"/>
      <c r="D848" s="36" t="n"/>
      <c r="E848" s="35" t="n"/>
      <c r="F848" s="36" t="n"/>
    </row>
    <row r="849">
      <c r="A849" s="35" t="n"/>
      <c r="B849" s="35" t="n"/>
      <c r="C849" s="36" t="n"/>
      <c r="D849" s="36" t="n"/>
      <c r="E849" s="35" t="n"/>
      <c r="F849" s="36" t="n"/>
    </row>
    <row r="850">
      <c r="A850" s="35" t="n"/>
      <c r="B850" s="35" t="n"/>
      <c r="C850" s="36" t="n"/>
      <c r="D850" s="36" t="n"/>
      <c r="E850" s="35" t="n"/>
      <c r="F850" s="36" t="n"/>
    </row>
    <row r="851">
      <c r="A851" s="35" t="n"/>
      <c r="B851" s="35" t="n"/>
      <c r="C851" s="36" t="n"/>
      <c r="D851" s="36" t="n"/>
      <c r="E851" s="35" t="n"/>
      <c r="F851" s="36" t="n"/>
    </row>
    <row r="852">
      <c r="A852" s="35" t="n"/>
      <c r="B852" s="35" t="n"/>
      <c r="C852" s="36" t="n"/>
      <c r="D852" s="36" t="n"/>
      <c r="E852" s="35" t="n"/>
      <c r="F852" s="36" t="n"/>
    </row>
    <row r="853">
      <c r="A853" s="35" t="n"/>
      <c r="B853" s="35" t="n"/>
      <c r="C853" s="36" t="n"/>
      <c r="D853" s="36" t="n"/>
      <c r="E853" s="35" t="n"/>
      <c r="F853" s="36" t="n"/>
    </row>
    <row r="854">
      <c r="A854" s="35" t="n"/>
      <c r="B854" s="35" t="n"/>
      <c r="C854" s="36" t="n"/>
      <c r="D854" s="36" t="n"/>
      <c r="E854" s="35" t="n"/>
      <c r="F854" s="36" t="n"/>
    </row>
    <row r="855">
      <c r="A855" s="35" t="n"/>
      <c r="B855" s="35" t="n"/>
      <c r="C855" s="36" t="n"/>
      <c r="D855" s="36" t="n"/>
      <c r="E855" s="35" t="n"/>
      <c r="F855" s="36" t="n"/>
    </row>
    <row r="856">
      <c r="A856" s="35" t="n"/>
      <c r="B856" s="35" t="n"/>
      <c r="C856" s="36" t="n"/>
      <c r="D856" s="36" t="n"/>
      <c r="E856" s="35" t="n"/>
      <c r="F856" s="36" t="n"/>
    </row>
    <row r="857">
      <c r="A857" s="35" t="n"/>
      <c r="B857" s="35" t="n"/>
      <c r="C857" s="36" t="n"/>
      <c r="D857" s="36" t="n"/>
      <c r="E857" s="35" t="n"/>
      <c r="F857" s="36" t="n"/>
    </row>
    <row r="858">
      <c r="A858" s="35" t="n"/>
      <c r="B858" s="35" t="n"/>
      <c r="C858" s="36" t="n"/>
      <c r="D858" s="36" t="n"/>
      <c r="E858" s="35" t="n"/>
      <c r="F858" s="36" t="n"/>
    </row>
    <row r="859">
      <c r="A859" s="35" t="n"/>
      <c r="B859" s="35" t="n"/>
      <c r="C859" s="36" t="n"/>
      <c r="D859" s="36" t="n"/>
      <c r="E859" s="35" t="n"/>
      <c r="F859" s="36" t="n"/>
    </row>
    <row r="860">
      <c r="A860" s="35" t="n"/>
      <c r="B860" s="35" t="n"/>
      <c r="C860" s="36" t="n"/>
      <c r="D860" s="36" t="n"/>
      <c r="E860" s="35" t="n"/>
      <c r="F860" s="36" t="n"/>
    </row>
    <row r="861">
      <c r="A861" s="35" t="n"/>
      <c r="B861" s="35" t="n"/>
      <c r="C861" s="36" t="n"/>
      <c r="D861" s="36" t="n"/>
      <c r="E861" s="35" t="n"/>
      <c r="F861" s="36" t="n"/>
    </row>
    <row r="862">
      <c r="A862" s="35" t="n"/>
      <c r="B862" s="35" t="n"/>
      <c r="C862" s="36" t="n"/>
      <c r="D862" s="36" t="n"/>
      <c r="E862" s="35" t="n"/>
      <c r="F862" s="36" t="n"/>
    </row>
    <row r="863">
      <c r="A863" s="35" t="n"/>
      <c r="B863" s="35" t="n"/>
      <c r="C863" s="36" t="n"/>
      <c r="D863" s="36" t="n"/>
      <c r="E863" s="35" t="n"/>
      <c r="F863" s="36" t="n"/>
    </row>
    <row r="864">
      <c r="A864" s="35" t="n"/>
      <c r="B864" s="35" t="n"/>
      <c r="C864" s="36" t="n"/>
      <c r="D864" s="36" t="n"/>
      <c r="E864" s="35" t="n"/>
      <c r="F864" s="36" t="n"/>
    </row>
    <row r="865">
      <c r="A865" s="35" t="n"/>
      <c r="B865" s="35" t="n"/>
      <c r="C865" s="36" t="n"/>
      <c r="D865" s="36" t="n"/>
      <c r="E865" s="35" t="n"/>
      <c r="F865" s="36" t="n"/>
    </row>
    <row r="866">
      <c r="A866" s="35" t="n"/>
      <c r="B866" s="35" t="n"/>
      <c r="C866" s="36" t="n"/>
      <c r="D866" s="36" t="n"/>
      <c r="E866" s="35" t="n"/>
      <c r="F866" s="36" t="n"/>
    </row>
    <row r="867">
      <c r="A867" s="35" t="n"/>
      <c r="B867" s="35" t="n"/>
      <c r="C867" s="36" t="n"/>
      <c r="D867" s="36" t="n"/>
      <c r="E867" s="35" t="n"/>
      <c r="F867" s="36" t="n"/>
    </row>
    <row r="868">
      <c r="A868" s="35" t="n"/>
      <c r="B868" s="35" t="n"/>
      <c r="C868" s="36" t="n"/>
      <c r="D868" s="36" t="n"/>
      <c r="E868" s="35" t="n"/>
      <c r="F868" s="36" t="n"/>
    </row>
    <row r="869">
      <c r="A869" s="35" t="n"/>
      <c r="B869" s="35" t="n"/>
      <c r="C869" s="36" t="n"/>
      <c r="D869" s="36" t="n"/>
      <c r="E869" s="35" t="n"/>
      <c r="F869" s="36" t="n"/>
    </row>
    <row r="870">
      <c r="A870" s="35" t="n"/>
      <c r="B870" s="35" t="n"/>
      <c r="C870" s="36" t="n"/>
      <c r="D870" s="36" t="n"/>
      <c r="E870" s="35" t="n"/>
      <c r="F870" s="36" t="n"/>
    </row>
    <row r="871">
      <c r="A871" s="35" t="n"/>
      <c r="B871" s="35" t="n"/>
      <c r="C871" s="36" t="n"/>
      <c r="D871" s="36" t="n"/>
      <c r="E871" s="35" t="n"/>
      <c r="F871" s="36" t="n"/>
    </row>
    <row r="872">
      <c r="A872" s="35" t="n"/>
      <c r="B872" s="35" t="n"/>
      <c r="C872" s="36" t="n"/>
      <c r="D872" s="36" t="n"/>
      <c r="E872" s="35" t="n"/>
      <c r="F872" s="36" t="n"/>
    </row>
    <row r="873">
      <c r="A873" s="35" t="n"/>
      <c r="B873" s="35" t="n"/>
      <c r="C873" s="36" t="n"/>
      <c r="D873" s="36" t="n"/>
      <c r="E873" s="35" t="n"/>
      <c r="F873" s="36" t="n"/>
    </row>
    <row r="874">
      <c r="A874" s="35" t="n"/>
      <c r="B874" s="35" t="n"/>
      <c r="C874" s="36" t="n"/>
      <c r="D874" s="36" t="n"/>
      <c r="E874" s="35" t="n"/>
      <c r="F874" s="36" t="n"/>
    </row>
    <row r="875">
      <c r="A875" s="35" t="n"/>
      <c r="B875" s="35" t="n"/>
      <c r="C875" s="36" t="n"/>
      <c r="D875" s="36" t="n"/>
      <c r="E875" s="35" t="n"/>
      <c r="F875" s="36" t="n"/>
    </row>
    <row r="876">
      <c r="A876" s="35" t="n"/>
      <c r="B876" s="35" t="n"/>
      <c r="C876" s="36" t="n"/>
      <c r="D876" s="36" t="n"/>
      <c r="E876" s="35" t="n"/>
      <c r="F876" s="36" t="n"/>
    </row>
    <row r="877">
      <c r="A877" s="35" t="n"/>
      <c r="B877" s="35" t="n"/>
      <c r="C877" s="36" t="n"/>
      <c r="D877" s="36" t="n"/>
      <c r="E877" s="35" t="n"/>
      <c r="F877" s="36" t="n"/>
    </row>
    <row r="878">
      <c r="A878" s="35" t="n"/>
      <c r="B878" s="35" t="n"/>
      <c r="C878" s="36" t="n"/>
      <c r="D878" s="36" t="n"/>
      <c r="E878" s="35" t="n"/>
      <c r="F878" s="36" t="n"/>
    </row>
    <row r="879">
      <c r="A879" s="35" t="n"/>
      <c r="B879" s="35" t="n"/>
      <c r="C879" s="36" t="n"/>
      <c r="D879" s="36" t="n"/>
      <c r="E879" s="35" t="n"/>
      <c r="F879" s="36" t="n"/>
    </row>
    <row r="880">
      <c r="A880" s="35" t="n"/>
      <c r="B880" s="35" t="n"/>
      <c r="C880" s="36" t="n"/>
      <c r="D880" s="36" t="n"/>
      <c r="E880" s="35" t="n"/>
      <c r="F880" s="36" t="n"/>
    </row>
    <row r="881">
      <c r="A881" s="35" t="n"/>
      <c r="B881" s="35" t="n"/>
      <c r="C881" s="36" t="n"/>
      <c r="D881" s="36" t="n"/>
      <c r="E881" s="35" t="n"/>
      <c r="F881" s="36" t="n"/>
    </row>
    <row r="882">
      <c r="A882" s="35" t="n"/>
      <c r="B882" s="35" t="n"/>
      <c r="C882" s="36" t="n"/>
      <c r="D882" s="36" t="n"/>
      <c r="E882" s="35" t="n"/>
      <c r="F882" s="36" t="n"/>
    </row>
    <row r="883">
      <c r="A883" s="35" t="n"/>
      <c r="B883" s="35" t="n"/>
      <c r="C883" s="36" t="n"/>
      <c r="D883" s="36" t="n"/>
      <c r="E883" s="35" t="n"/>
      <c r="F883" s="36" t="n"/>
    </row>
    <row r="884">
      <c r="A884" s="35" t="n"/>
      <c r="B884" s="35" t="n"/>
      <c r="C884" s="36" t="n"/>
      <c r="D884" s="36" t="n"/>
      <c r="E884" s="35" t="n"/>
      <c r="F884" s="36" t="n"/>
    </row>
    <row r="885">
      <c r="A885" s="35" t="n"/>
      <c r="B885" s="35" t="n"/>
      <c r="C885" s="36" t="n"/>
      <c r="D885" s="36" t="n"/>
      <c r="E885" s="35" t="n"/>
      <c r="F885" s="36" t="n"/>
    </row>
    <row r="886">
      <c r="A886" s="35" t="n"/>
      <c r="B886" s="35" t="n"/>
      <c r="C886" s="36" t="n"/>
      <c r="D886" s="36" t="n"/>
      <c r="E886" s="35" t="n"/>
      <c r="F886" s="36" t="n"/>
    </row>
    <row r="887">
      <c r="A887" s="35" t="n"/>
      <c r="B887" s="35" t="n"/>
      <c r="C887" s="36" t="n"/>
      <c r="D887" s="36" t="n"/>
      <c r="E887" s="35" t="n"/>
      <c r="F887" s="36" t="n"/>
    </row>
    <row r="888">
      <c r="A888" s="35" t="n"/>
      <c r="B888" s="35" t="n"/>
      <c r="C888" s="36" t="n"/>
      <c r="D888" s="36" t="n"/>
      <c r="E888" s="35" t="n"/>
      <c r="F888" s="36" t="n"/>
    </row>
    <row r="889">
      <c r="A889" s="35" t="n"/>
      <c r="B889" s="35" t="n"/>
      <c r="C889" s="36" t="n"/>
      <c r="D889" s="36" t="n"/>
      <c r="E889" s="35" t="n"/>
      <c r="F889" s="36" t="n"/>
    </row>
    <row r="890">
      <c r="A890" s="35" t="n"/>
      <c r="B890" s="35" t="n"/>
      <c r="C890" s="36" t="n"/>
      <c r="D890" s="36" t="n"/>
      <c r="E890" s="35" t="n"/>
      <c r="F890" s="36" t="n"/>
    </row>
    <row r="891">
      <c r="A891" s="35" t="n"/>
      <c r="B891" s="35" t="n"/>
      <c r="C891" s="36" t="n"/>
      <c r="D891" s="36" t="n"/>
      <c r="E891" s="35" t="n"/>
      <c r="F891" s="36" t="n"/>
    </row>
    <row r="892">
      <c r="A892" s="35" t="n"/>
      <c r="B892" s="35" t="n"/>
      <c r="C892" s="36" t="n"/>
      <c r="D892" s="36" t="n"/>
      <c r="E892" s="35" t="n"/>
      <c r="F892" s="36" t="n"/>
    </row>
    <row r="893">
      <c r="A893" s="35" t="n"/>
      <c r="B893" s="35" t="n"/>
      <c r="C893" s="36" t="n"/>
      <c r="D893" s="36" t="n"/>
      <c r="E893" s="35" t="n"/>
      <c r="F893" s="36" t="n"/>
    </row>
    <row r="894">
      <c r="A894" s="35" t="n"/>
      <c r="B894" s="35" t="n"/>
      <c r="C894" s="36" t="n"/>
      <c r="D894" s="36" t="n"/>
      <c r="E894" s="35" t="n"/>
      <c r="F894" s="36" t="n"/>
    </row>
    <row r="895">
      <c r="A895" s="35" t="n"/>
      <c r="B895" s="35" t="n"/>
      <c r="C895" s="36" t="n"/>
      <c r="D895" s="36" t="n"/>
      <c r="E895" s="35" t="n"/>
      <c r="F895" s="36" t="n"/>
    </row>
    <row r="896">
      <c r="A896" s="35" t="n"/>
      <c r="B896" s="35" t="n"/>
      <c r="C896" s="36" t="n"/>
      <c r="D896" s="36" t="n"/>
      <c r="E896" s="35" t="n"/>
      <c r="F896" s="36" t="n"/>
    </row>
    <row r="897">
      <c r="A897" s="35" t="n"/>
      <c r="B897" s="35" t="n"/>
      <c r="C897" s="36" t="n"/>
      <c r="D897" s="36" t="n"/>
      <c r="E897" s="35" t="n"/>
      <c r="F897" s="36" t="n"/>
    </row>
    <row r="898">
      <c r="A898" s="35" t="n"/>
      <c r="B898" s="35" t="n"/>
      <c r="C898" s="36" t="n"/>
      <c r="D898" s="36" t="n"/>
      <c r="E898" s="35" t="n"/>
      <c r="F898" s="36" t="n"/>
    </row>
    <row r="899">
      <c r="A899" s="35" t="n"/>
      <c r="B899" s="35" t="n"/>
      <c r="C899" s="36" t="n"/>
      <c r="D899" s="36" t="n"/>
      <c r="E899" s="35" t="n"/>
      <c r="F899" s="36" t="n"/>
    </row>
    <row r="900">
      <c r="A900" s="35" t="n"/>
      <c r="B900" s="35" t="n"/>
      <c r="C900" s="36" t="n"/>
      <c r="D900" s="36" t="n"/>
      <c r="E900" s="35" t="n"/>
      <c r="F900" s="36" t="n"/>
    </row>
    <row r="901">
      <c r="A901" s="35" t="n"/>
      <c r="B901" s="35" t="n"/>
      <c r="C901" s="36" t="n"/>
      <c r="D901" s="36" t="n"/>
      <c r="E901" s="35" t="n"/>
      <c r="F901" s="36" t="n"/>
    </row>
    <row r="902">
      <c r="A902" s="35" t="n"/>
      <c r="B902" s="35" t="n"/>
      <c r="C902" s="36" t="n"/>
      <c r="D902" s="36" t="n"/>
      <c r="E902" s="35" t="n"/>
      <c r="F902" s="36" t="n"/>
    </row>
    <row r="903">
      <c r="A903" s="35" t="n"/>
      <c r="B903" s="35" t="n"/>
      <c r="C903" s="36" t="n"/>
      <c r="D903" s="36" t="n"/>
      <c r="E903" s="35" t="n"/>
      <c r="F903" s="36" t="n"/>
    </row>
    <row r="904">
      <c r="A904" s="35" t="n"/>
      <c r="B904" s="35" t="n"/>
      <c r="C904" s="36" t="n"/>
      <c r="D904" s="36" t="n"/>
      <c r="E904" s="35" t="n"/>
      <c r="F904" s="36" t="n"/>
    </row>
    <row r="905">
      <c r="A905" s="35" t="n"/>
      <c r="B905" s="35" t="n"/>
      <c r="C905" s="36" t="n"/>
      <c r="D905" s="36" t="n"/>
      <c r="E905" s="35" t="n"/>
      <c r="F905" s="36" t="n"/>
    </row>
    <row r="906">
      <c r="A906" s="35" t="n"/>
      <c r="B906" s="35" t="n"/>
      <c r="C906" s="36" t="n"/>
      <c r="D906" s="36" t="n"/>
      <c r="E906" s="35" t="n"/>
      <c r="F906" s="36" t="n"/>
    </row>
    <row r="907">
      <c r="A907" s="35" t="n"/>
      <c r="B907" s="35" t="n"/>
      <c r="C907" s="36" t="n"/>
      <c r="D907" s="36" t="n"/>
      <c r="E907" s="35" t="n"/>
      <c r="F907" s="36" t="n"/>
    </row>
    <row r="908">
      <c r="A908" s="35" t="n"/>
      <c r="B908" s="35" t="n"/>
      <c r="C908" s="36" t="n"/>
      <c r="D908" s="36" t="n"/>
      <c r="E908" s="35" t="n"/>
      <c r="F908" s="36" t="n"/>
    </row>
    <row r="909">
      <c r="A909" s="35" t="n"/>
      <c r="B909" s="35" t="n"/>
      <c r="C909" s="36" t="n"/>
      <c r="D909" s="36" t="n"/>
      <c r="E909" s="35" t="n"/>
      <c r="F909" s="36" t="n"/>
    </row>
    <row r="910">
      <c r="A910" s="35" t="n"/>
      <c r="B910" s="35" t="n"/>
      <c r="C910" s="36" t="n"/>
      <c r="D910" s="36" t="n"/>
      <c r="E910" s="35" t="n"/>
      <c r="F910" s="36" t="n"/>
    </row>
    <row r="911">
      <c r="A911" s="35" t="n"/>
      <c r="B911" s="35" t="n"/>
      <c r="C911" s="36" t="n"/>
      <c r="D911" s="36" t="n"/>
      <c r="E911" s="35" t="n"/>
      <c r="F911" s="36" t="n"/>
    </row>
    <row r="912">
      <c r="A912" s="35" t="n"/>
      <c r="B912" s="35" t="n"/>
      <c r="C912" s="36" t="n"/>
      <c r="D912" s="36" t="n"/>
      <c r="E912" s="35" t="n"/>
      <c r="F912" s="36" t="n"/>
    </row>
    <row r="913">
      <c r="A913" s="35" t="n"/>
      <c r="B913" s="35" t="n"/>
      <c r="C913" s="36" t="n"/>
      <c r="D913" s="36" t="n"/>
      <c r="E913" s="35" t="n"/>
      <c r="F913" s="36" t="n"/>
    </row>
    <row r="914">
      <c r="A914" s="35" t="n"/>
      <c r="B914" s="35" t="n"/>
      <c r="C914" s="36" t="n"/>
      <c r="D914" s="36" t="n"/>
      <c r="E914" s="35" t="n"/>
      <c r="F914" s="36" t="n"/>
    </row>
    <row r="915">
      <c r="A915" s="35" t="n"/>
      <c r="B915" s="35" t="n"/>
      <c r="C915" s="36" t="n"/>
      <c r="D915" s="36" t="n"/>
      <c r="E915" s="35" t="n"/>
      <c r="F915" s="36" t="n"/>
    </row>
    <row r="916">
      <c r="A916" s="35" t="n"/>
      <c r="B916" s="35" t="n"/>
      <c r="C916" s="36" t="n"/>
      <c r="D916" s="36" t="n"/>
      <c r="E916" s="35" t="n"/>
      <c r="F916" s="36" t="n"/>
    </row>
    <row r="917">
      <c r="A917" s="35" t="n"/>
      <c r="B917" s="35" t="n"/>
      <c r="C917" s="36" t="n"/>
      <c r="D917" s="36" t="n"/>
      <c r="E917" s="35" t="n"/>
      <c r="F917" s="36" t="n"/>
    </row>
    <row r="918">
      <c r="A918" s="35" t="n"/>
      <c r="B918" s="35" t="n"/>
      <c r="C918" s="36" t="n"/>
      <c r="D918" s="36" t="n"/>
      <c r="E918" s="35" t="n"/>
      <c r="F918" s="36" t="n"/>
    </row>
    <row r="919">
      <c r="A919" s="35" t="n"/>
      <c r="B919" s="35" t="n"/>
      <c r="C919" s="36" t="n"/>
      <c r="D919" s="36" t="n"/>
      <c r="E919" s="35" t="n"/>
      <c r="F919" s="36" t="n"/>
    </row>
    <row r="920">
      <c r="A920" s="35" t="n"/>
      <c r="B920" s="35" t="n"/>
      <c r="C920" s="36" t="n"/>
      <c r="D920" s="36" t="n"/>
      <c r="E920" s="35" t="n"/>
      <c r="F920" s="36" t="n"/>
    </row>
    <row r="921">
      <c r="A921" s="35" t="n"/>
      <c r="B921" s="35" t="n"/>
      <c r="C921" s="36" t="n"/>
      <c r="D921" s="36" t="n"/>
      <c r="E921" s="35" t="n"/>
      <c r="F921" s="36" t="n"/>
    </row>
    <row r="922">
      <c r="A922" s="35" t="n"/>
      <c r="B922" s="35" t="n"/>
      <c r="C922" s="36" t="n"/>
      <c r="D922" s="36" t="n"/>
      <c r="E922" s="35" t="n"/>
      <c r="F922" s="36" t="n"/>
    </row>
    <row r="923">
      <c r="A923" s="35" t="n"/>
      <c r="B923" s="35" t="n"/>
      <c r="C923" s="36" t="n"/>
      <c r="D923" s="36" t="n"/>
      <c r="E923" s="35" t="n"/>
      <c r="F923" s="36" t="n"/>
    </row>
    <row r="924">
      <c r="A924" s="35" t="n"/>
      <c r="B924" s="35" t="n"/>
      <c r="C924" s="36" t="n"/>
      <c r="D924" s="36" t="n"/>
      <c r="E924" s="35" t="n"/>
      <c r="F924" s="36" t="n"/>
    </row>
    <row r="925">
      <c r="A925" s="35" t="n"/>
      <c r="B925" s="35" t="n"/>
      <c r="C925" s="36" t="n"/>
      <c r="D925" s="36" t="n"/>
      <c r="E925" s="35" t="n"/>
      <c r="F925" s="36" t="n"/>
    </row>
    <row r="926">
      <c r="A926" s="35" t="n"/>
      <c r="B926" s="35" t="n"/>
      <c r="C926" s="36" t="n"/>
      <c r="D926" s="36" t="n"/>
      <c r="E926" s="35" t="n"/>
      <c r="F926" s="36" t="n"/>
    </row>
    <row r="927">
      <c r="A927" s="35" t="n"/>
      <c r="B927" s="35" t="n"/>
      <c r="C927" s="36" t="n"/>
      <c r="D927" s="36" t="n"/>
      <c r="E927" s="35" t="n"/>
      <c r="F927" s="36" t="n"/>
    </row>
    <row r="928">
      <c r="A928" s="35" t="n"/>
      <c r="B928" s="35" t="n"/>
      <c r="C928" s="36" t="n"/>
      <c r="D928" s="36" t="n"/>
      <c r="E928" s="35" t="n"/>
      <c r="F928" s="36" t="n"/>
    </row>
    <row r="929">
      <c r="A929" s="35" t="n"/>
      <c r="B929" s="35" t="n"/>
      <c r="C929" s="36" t="n"/>
      <c r="D929" s="36" t="n"/>
      <c r="E929" s="35" t="n"/>
      <c r="F929" s="36" t="n"/>
    </row>
    <row r="930">
      <c r="A930" s="35" t="n"/>
      <c r="B930" s="35" t="n"/>
      <c r="C930" s="36" t="n"/>
      <c r="D930" s="36" t="n"/>
      <c r="E930" s="35" t="n"/>
      <c r="F930" s="36" t="n"/>
    </row>
    <row r="931">
      <c r="A931" s="35" t="n"/>
      <c r="B931" s="35" t="n"/>
      <c r="C931" s="36" t="n"/>
      <c r="D931" s="36" t="n"/>
      <c r="E931" s="35" t="n"/>
      <c r="F931" s="36" t="n"/>
    </row>
    <row r="932">
      <c r="A932" s="35" t="n"/>
      <c r="B932" s="35" t="n"/>
      <c r="C932" s="36" t="n"/>
      <c r="D932" s="36" t="n"/>
      <c r="E932" s="35" t="n"/>
      <c r="F932" s="36" t="n"/>
    </row>
    <row r="933">
      <c r="A933" s="35" t="n"/>
      <c r="B933" s="35" t="n"/>
      <c r="C933" s="36" t="n"/>
      <c r="D933" s="36" t="n"/>
      <c r="E933" s="35" t="n"/>
      <c r="F933" s="36" t="n"/>
    </row>
    <row r="934">
      <c r="A934" s="35" t="n"/>
      <c r="B934" s="35" t="n"/>
      <c r="C934" s="36" t="n"/>
      <c r="D934" s="36" t="n"/>
      <c r="E934" s="35" t="n"/>
      <c r="F934" s="36" t="n"/>
    </row>
    <row r="935">
      <c r="A935" s="35" t="n"/>
      <c r="B935" s="35" t="n"/>
      <c r="C935" s="36" t="n"/>
      <c r="D935" s="36" t="n"/>
      <c r="E935" s="35" t="n"/>
      <c r="F935" s="36" t="n"/>
    </row>
    <row r="936">
      <c r="A936" s="35" t="n"/>
      <c r="B936" s="35" t="n"/>
      <c r="C936" s="36" t="n"/>
      <c r="D936" s="36" t="n"/>
      <c r="E936" s="35" t="n"/>
      <c r="F936" s="36" t="n"/>
    </row>
    <row r="937">
      <c r="A937" s="35" t="n"/>
      <c r="B937" s="35" t="n"/>
      <c r="C937" s="36" t="n"/>
      <c r="D937" s="36" t="n"/>
      <c r="E937" s="35" t="n"/>
      <c r="F937" s="36" t="n"/>
    </row>
    <row r="938">
      <c r="A938" s="35" t="n"/>
      <c r="B938" s="35" t="n"/>
      <c r="C938" s="36" t="n"/>
      <c r="D938" s="36" t="n"/>
      <c r="E938" s="35" t="n"/>
      <c r="F938" s="36" t="n"/>
    </row>
    <row r="939">
      <c r="A939" s="35" t="n"/>
      <c r="B939" s="35" t="n"/>
      <c r="C939" s="36" t="n"/>
      <c r="D939" s="36" t="n"/>
      <c r="E939" s="35" t="n"/>
      <c r="F939" s="36" t="n"/>
    </row>
    <row r="940">
      <c r="A940" s="35" t="n"/>
      <c r="B940" s="35" t="n"/>
      <c r="C940" s="36" t="n"/>
      <c r="D940" s="36" t="n"/>
      <c r="E940" s="35" t="n"/>
      <c r="F940" s="36" t="n"/>
    </row>
    <row r="941">
      <c r="A941" s="35" t="n"/>
      <c r="B941" s="35" t="n"/>
      <c r="C941" s="36" t="n"/>
      <c r="D941" s="36" t="n"/>
      <c r="E941" s="35" t="n"/>
      <c r="F941" s="36" t="n"/>
    </row>
    <row r="942">
      <c r="A942" s="35" t="n"/>
      <c r="B942" s="35" t="n"/>
      <c r="C942" s="36" t="n"/>
      <c r="D942" s="36" t="n"/>
      <c r="E942" s="35" t="n"/>
      <c r="F942" s="36" t="n"/>
    </row>
    <row r="943">
      <c r="A943" s="35" t="n"/>
      <c r="B943" s="35" t="n"/>
      <c r="C943" s="36" t="n"/>
      <c r="D943" s="36" t="n"/>
      <c r="E943" s="35" t="n"/>
      <c r="F943" s="36" t="n"/>
    </row>
    <row r="944">
      <c r="A944" s="35" t="n"/>
      <c r="B944" s="35" t="n"/>
      <c r="C944" s="36" t="n"/>
      <c r="D944" s="36" t="n"/>
      <c r="E944" s="35" t="n"/>
      <c r="F944" s="36" t="n"/>
    </row>
    <row r="945">
      <c r="A945" s="35" t="n"/>
      <c r="B945" s="35" t="n"/>
      <c r="C945" s="36" t="n"/>
      <c r="D945" s="36" t="n"/>
      <c r="E945" s="35" t="n"/>
      <c r="F945" s="36" t="n"/>
    </row>
    <row r="946">
      <c r="A946" s="35" t="n"/>
      <c r="B946" s="35" t="n"/>
      <c r="C946" s="36" t="n"/>
      <c r="D946" s="36" t="n"/>
      <c r="E946" s="35" t="n"/>
      <c r="F946" s="36" t="n"/>
    </row>
    <row r="947">
      <c r="A947" s="35" t="n"/>
      <c r="B947" s="35" t="n"/>
      <c r="C947" s="36" t="n"/>
      <c r="D947" s="36" t="n"/>
      <c r="E947" s="35" t="n"/>
      <c r="F947" s="36" t="n"/>
    </row>
    <row r="948">
      <c r="A948" s="35" t="n"/>
      <c r="B948" s="35" t="n"/>
      <c r="C948" s="36" t="n"/>
      <c r="D948" s="36" t="n"/>
      <c r="E948" s="35" t="n"/>
      <c r="F948" s="36" t="n"/>
    </row>
    <row r="949">
      <c r="A949" s="35" t="n"/>
      <c r="B949" s="35" t="n"/>
      <c r="C949" s="36" t="n"/>
      <c r="D949" s="36" t="n"/>
      <c r="E949" s="35" t="n"/>
      <c r="F949" s="36" t="n"/>
    </row>
    <row r="950">
      <c r="A950" s="35" t="n"/>
      <c r="B950" s="35" t="n"/>
      <c r="C950" s="36" t="n"/>
      <c r="D950" s="36" t="n"/>
      <c r="E950" s="35" t="n"/>
      <c r="F950" s="36" t="n"/>
    </row>
    <row r="951">
      <c r="A951" s="35" t="n"/>
      <c r="B951" s="35" t="n"/>
      <c r="C951" s="36" t="n"/>
      <c r="D951" s="36" t="n"/>
      <c r="E951" s="35" t="n"/>
      <c r="F951" s="36" t="n"/>
    </row>
    <row r="952">
      <c r="A952" s="35" t="n"/>
      <c r="B952" s="35" t="n"/>
      <c r="C952" s="36" t="n"/>
      <c r="D952" s="36" t="n"/>
      <c r="E952" s="35" t="n"/>
      <c r="F952" s="36" t="n"/>
    </row>
    <row r="953">
      <c r="A953" s="35" t="n"/>
      <c r="B953" s="35" t="n"/>
      <c r="C953" s="36" t="n"/>
      <c r="D953" s="36" t="n"/>
      <c r="E953" s="35" t="n"/>
      <c r="F953" s="36" t="n"/>
    </row>
    <row r="954">
      <c r="A954" s="35" t="n"/>
      <c r="B954" s="35" t="n"/>
      <c r="C954" s="36" t="n"/>
      <c r="D954" s="36" t="n"/>
      <c r="E954" s="35" t="n"/>
      <c r="F954" s="36" t="n"/>
    </row>
    <row r="955">
      <c r="A955" s="35" t="n"/>
      <c r="B955" s="35" t="n"/>
      <c r="C955" s="36" t="n"/>
      <c r="D955" s="36" t="n"/>
      <c r="E955" s="35" t="n"/>
      <c r="F955" s="36" t="n"/>
    </row>
    <row r="956">
      <c r="A956" s="35" t="n"/>
      <c r="B956" s="35" t="n"/>
      <c r="C956" s="36" t="n"/>
      <c r="D956" s="36" t="n"/>
      <c r="E956" s="35" t="n"/>
      <c r="F956" s="36" t="n"/>
    </row>
    <row r="957">
      <c r="A957" s="35" t="n"/>
      <c r="B957" s="35" t="n"/>
      <c r="C957" s="36" t="n"/>
      <c r="D957" s="36" t="n"/>
      <c r="E957" s="35" t="n"/>
      <c r="F957" s="36" t="n"/>
    </row>
    <row r="958">
      <c r="A958" s="35" t="n"/>
      <c r="B958" s="35" t="n"/>
      <c r="C958" s="36" t="n"/>
      <c r="D958" s="36" t="n"/>
      <c r="E958" s="35" t="n"/>
      <c r="F958" s="36" t="n"/>
    </row>
    <row r="959">
      <c r="A959" s="35" t="n"/>
      <c r="B959" s="35" t="n"/>
      <c r="C959" s="36" t="n"/>
      <c r="D959" s="36" t="n"/>
      <c r="E959" s="35" t="n"/>
      <c r="F959" s="36" t="n"/>
    </row>
    <row r="960">
      <c r="A960" s="35" t="n"/>
      <c r="B960" s="35" t="n"/>
      <c r="C960" s="36" t="n"/>
      <c r="D960" s="36" t="n"/>
      <c r="E960" s="35" t="n"/>
      <c r="F960" s="36" t="n"/>
    </row>
    <row r="961">
      <c r="A961" s="35" t="n"/>
      <c r="B961" s="35" t="n"/>
      <c r="C961" s="36" t="n"/>
      <c r="D961" s="36" t="n"/>
      <c r="E961" s="35" t="n"/>
      <c r="F961" s="36" t="n"/>
    </row>
    <row r="962">
      <c r="A962" s="35" t="n"/>
      <c r="B962" s="35" t="n"/>
      <c r="C962" s="36" t="n"/>
      <c r="D962" s="36" t="n"/>
      <c r="E962" s="35" t="n"/>
      <c r="F962" s="36" t="n"/>
    </row>
    <row r="963">
      <c r="A963" s="35" t="n"/>
      <c r="B963" s="35" t="n"/>
      <c r="C963" s="36" t="n"/>
      <c r="D963" s="36" t="n"/>
      <c r="E963" s="35" t="n"/>
      <c r="F963" s="36" t="n"/>
    </row>
    <row r="964">
      <c r="A964" s="35" t="n"/>
      <c r="B964" s="35" t="n"/>
      <c r="C964" s="36" t="n"/>
      <c r="D964" s="36" t="n"/>
      <c r="E964" s="35" t="n"/>
      <c r="F964" s="36" t="n"/>
    </row>
    <row r="965">
      <c r="A965" s="35" t="n"/>
      <c r="B965" s="35" t="n"/>
      <c r="C965" s="36" t="n"/>
      <c r="D965" s="36" t="n"/>
      <c r="E965" s="35" t="n"/>
      <c r="F965" s="36" t="n"/>
    </row>
    <row r="966">
      <c r="A966" s="35" t="n"/>
      <c r="B966" s="35" t="n"/>
      <c r="C966" s="36" t="n"/>
      <c r="D966" s="36" t="n"/>
      <c r="E966" s="35" t="n"/>
      <c r="F966" s="36" t="n"/>
    </row>
    <row r="967">
      <c r="A967" s="35" t="n"/>
      <c r="B967" s="35" t="n"/>
      <c r="C967" s="36" t="n"/>
      <c r="D967" s="36" t="n"/>
      <c r="E967" s="35" t="n"/>
      <c r="F967" s="36" t="n"/>
    </row>
    <row r="968">
      <c r="A968" s="35" t="n"/>
      <c r="B968" s="35" t="n"/>
      <c r="C968" s="36" t="n"/>
      <c r="D968" s="36" t="n"/>
      <c r="E968" s="35" t="n"/>
      <c r="F968" s="36" t="n"/>
    </row>
    <row r="969">
      <c r="A969" s="35" t="n"/>
      <c r="B969" s="35" t="n"/>
      <c r="C969" s="36" t="n"/>
      <c r="D969" s="36" t="n"/>
      <c r="E969" s="35" t="n"/>
      <c r="F969" s="36" t="n"/>
    </row>
    <row r="970">
      <c r="A970" s="35" t="n"/>
      <c r="B970" s="35" t="n"/>
      <c r="C970" s="36" t="n"/>
      <c r="D970" s="36" t="n"/>
      <c r="E970" s="35" t="n"/>
      <c r="F970" s="36" t="n"/>
    </row>
    <row r="971">
      <c r="A971" s="35" t="n"/>
      <c r="B971" s="35" t="n"/>
      <c r="C971" s="36" t="n"/>
      <c r="D971" s="36" t="n"/>
      <c r="E971" s="35" t="n"/>
      <c r="F971" s="36" t="n"/>
    </row>
    <row r="972">
      <c r="A972" s="35" t="n"/>
      <c r="B972" s="35" t="n"/>
      <c r="C972" s="36" t="n"/>
      <c r="D972" s="36" t="n"/>
      <c r="E972" s="35" t="n"/>
      <c r="F972" s="36" t="n"/>
    </row>
    <row r="973">
      <c r="A973" s="35" t="n"/>
      <c r="B973" s="35" t="n"/>
      <c r="C973" s="36" t="n"/>
      <c r="D973" s="36" t="n"/>
      <c r="E973" s="35" t="n"/>
      <c r="F973" s="36" t="n"/>
    </row>
    <row r="974">
      <c r="A974" s="35" t="n"/>
      <c r="B974" s="35" t="n"/>
      <c r="C974" s="36" t="n"/>
      <c r="D974" s="36" t="n"/>
      <c r="E974" s="35" t="n"/>
      <c r="F974" s="36" t="n"/>
    </row>
    <row r="975">
      <c r="A975" s="35" t="n"/>
      <c r="B975" s="35" t="n"/>
      <c r="C975" s="36" t="n"/>
      <c r="D975" s="36" t="n"/>
      <c r="E975" s="35" t="n"/>
      <c r="F975" s="36" t="n"/>
    </row>
    <row r="976">
      <c r="A976" s="35" t="n"/>
      <c r="B976" s="35" t="n"/>
      <c r="C976" s="36" t="n"/>
      <c r="D976" s="36" t="n"/>
      <c r="E976" s="35" t="n"/>
      <c r="F976" s="36" t="n"/>
    </row>
    <row r="977">
      <c r="A977" s="35" t="n"/>
      <c r="B977" s="35" t="n"/>
      <c r="C977" s="36" t="n"/>
      <c r="D977" s="36" t="n"/>
      <c r="E977" s="35" t="n"/>
      <c r="F977" s="36" t="n"/>
    </row>
    <row r="978">
      <c r="A978" s="35" t="n"/>
      <c r="B978" s="35" t="n"/>
      <c r="C978" s="36" t="n"/>
      <c r="D978" s="36" t="n"/>
      <c r="E978" s="35" t="n"/>
      <c r="F978" s="36" t="n"/>
    </row>
    <row r="979">
      <c r="A979" s="35" t="n"/>
      <c r="B979" s="35" t="n"/>
      <c r="C979" s="36" t="n"/>
      <c r="D979" s="36" t="n"/>
      <c r="E979" s="35" t="n"/>
      <c r="F979" s="36" t="n"/>
    </row>
    <row r="980">
      <c r="A980" s="35" t="n"/>
      <c r="B980" s="35" t="n"/>
      <c r="C980" s="36" t="n"/>
      <c r="D980" s="36" t="n"/>
      <c r="E980" s="35" t="n"/>
      <c r="F980" s="36" t="n"/>
    </row>
    <row r="981">
      <c r="A981" s="35" t="n"/>
      <c r="B981" s="35" t="n"/>
      <c r="C981" s="36" t="n"/>
      <c r="D981" s="36" t="n"/>
      <c r="E981" s="35" t="n"/>
      <c r="F981" s="36" t="n"/>
    </row>
    <row r="982">
      <c r="A982" s="35" t="n"/>
      <c r="B982" s="35" t="n"/>
      <c r="C982" s="36" t="n"/>
      <c r="D982" s="36" t="n"/>
      <c r="E982" s="35" t="n"/>
      <c r="F982" s="36" t="n"/>
    </row>
    <row r="983">
      <c r="A983" s="35" t="n"/>
      <c r="B983" s="35" t="n"/>
      <c r="C983" s="36" t="n"/>
      <c r="D983" s="36" t="n"/>
      <c r="E983" s="35" t="n"/>
      <c r="F983" s="36" t="n"/>
    </row>
    <row r="984">
      <c r="A984" s="35" t="n"/>
      <c r="B984" s="35" t="n"/>
      <c r="C984" s="36" t="n"/>
      <c r="D984" s="36" t="n"/>
      <c r="E984" s="35" t="n"/>
      <c r="F984" s="36" t="n"/>
    </row>
    <row r="985">
      <c r="A985" s="35" t="n"/>
      <c r="B985" s="35" t="n"/>
      <c r="C985" s="36" t="n"/>
      <c r="D985" s="36" t="n"/>
      <c r="E985" s="35" t="n"/>
      <c r="F985" s="36" t="n"/>
    </row>
    <row r="986">
      <c r="A986" s="35" t="n"/>
      <c r="B986" s="35" t="n"/>
      <c r="C986" s="36" t="n"/>
      <c r="D986" s="36" t="n"/>
      <c r="E986" s="35" t="n"/>
      <c r="F986" s="36" t="n"/>
    </row>
    <row r="987">
      <c r="A987" s="35" t="n"/>
      <c r="B987" s="35" t="n"/>
      <c r="C987" s="36" t="n"/>
      <c r="D987" s="36" t="n"/>
      <c r="E987" s="35" t="n"/>
      <c r="F987" s="36" t="n"/>
    </row>
    <row r="988">
      <c r="A988" s="35" t="n"/>
      <c r="B988" s="35" t="n"/>
      <c r="C988" s="36" t="n"/>
      <c r="D988" s="36" t="n"/>
      <c r="E988" s="35" t="n"/>
      <c r="F988" s="36" t="n"/>
    </row>
    <row r="989">
      <c r="A989" s="35" t="n"/>
      <c r="B989" s="35" t="n"/>
      <c r="C989" s="36" t="n"/>
      <c r="D989" s="36" t="n"/>
      <c r="E989" s="35" t="n"/>
      <c r="F989" s="36" t="n"/>
    </row>
    <row r="990">
      <c r="A990" s="35" t="n"/>
      <c r="B990" s="35" t="n"/>
      <c r="C990" s="36" t="n"/>
      <c r="D990" s="36" t="n"/>
      <c r="E990" s="35" t="n"/>
      <c r="F990" s="36" t="n"/>
    </row>
    <row r="991">
      <c r="A991" s="35" t="n"/>
      <c r="B991" s="35" t="n"/>
      <c r="C991" s="36" t="n"/>
      <c r="D991" s="36" t="n"/>
      <c r="E991" s="35" t="n"/>
      <c r="F991" s="36" t="n"/>
    </row>
    <row r="992">
      <c r="A992" s="35" t="n"/>
      <c r="B992" s="35" t="n"/>
      <c r="C992" s="36" t="n"/>
      <c r="D992" s="36" t="n"/>
      <c r="E992" s="35" t="n"/>
      <c r="F992" s="36" t="n"/>
    </row>
    <row r="993">
      <c r="A993" s="35" t="n"/>
      <c r="B993" s="35" t="n"/>
      <c r="C993" s="36" t="n"/>
      <c r="D993" s="36" t="n"/>
      <c r="E993" s="35" t="n"/>
      <c r="F993" s="36" t="n"/>
    </row>
    <row r="994">
      <c r="A994" s="35" t="n"/>
      <c r="B994" s="35" t="n"/>
      <c r="C994" s="36" t="n"/>
      <c r="D994" s="36" t="n"/>
      <c r="E994" s="35" t="n"/>
      <c r="F994" s="36" t="n"/>
    </row>
    <row r="995">
      <c r="A995" s="35" t="n"/>
      <c r="B995" s="35" t="n"/>
      <c r="C995" s="36" t="n"/>
      <c r="D995" s="36" t="n"/>
      <c r="E995" s="35" t="n"/>
      <c r="F995" s="36" t="n"/>
    </row>
    <row r="996">
      <c r="A996" s="35" t="n"/>
      <c r="B996" s="35" t="n"/>
      <c r="C996" s="36" t="n"/>
      <c r="D996" s="36" t="n"/>
      <c r="E996" s="35" t="n"/>
      <c r="F996" s="36" t="n"/>
    </row>
    <row r="997">
      <c r="A997" s="35" t="n"/>
      <c r="B997" s="35" t="n"/>
      <c r="C997" s="36" t="n"/>
      <c r="D997" s="36" t="n"/>
      <c r="E997" s="35" t="n"/>
      <c r="F997" s="36" t="n"/>
    </row>
    <row r="998">
      <c r="A998" s="35" t="n"/>
      <c r="B998" s="35" t="n"/>
      <c r="C998" s="36" t="n"/>
      <c r="D998" s="36" t="n"/>
      <c r="E998" s="35" t="n"/>
      <c r="F998" s="36" t="n"/>
    </row>
    <row r="999">
      <c r="A999" s="35" t="n"/>
      <c r="B999" s="35" t="n"/>
      <c r="C999" s="36" t="n"/>
      <c r="D999" s="36" t="n"/>
      <c r="E999" s="35" t="n"/>
      <c r="F999" s="36" t="n"/>
    </row>
    <row r="1000">
      <c r="A1000" s="35" t="n"/>
      <c r="B1000" s="35" t="n"/>
      <c r="C1000" s="36" t="n"/>
      <c r="D1000" s="36" t="n"/>
      <c r="E1000" s="35" t="n"/>
      <c r="F1000" s="3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Vasu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2026-05-30T03:24:09Z</dcterms:modified>
  <cp:lastModifiedBy>สหพรรณ พุฒศรี</cp:lastModifiedBy>
</cp:coreProperties>
</file>